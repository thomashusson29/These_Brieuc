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thomashusson/Downloads/"/>
    </mc:Choice>
  </mc:AlternateContent>
  <xr:revisionPtr revIDLastSave="0" documentId="8_{CABFB280-CE91-5B42-A874-55016A9C680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cueil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11" i="2" l="1"/>
  <c r="F2" i="2" l="1"/>
  <c r="F3" i="2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31" i="2"/>
  <c r="F32" i="2"/>
  <c r="F34" i="2"/>
  <c r="F35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</calcChain>
</file>

<file path=xl/sharedStrings.xml><?xml version="1.0" encoding="utf-8"?>
<sst xmlns="http://schemas.openxmlformats.org/spreadsheetml/2006/main" count="971" uniqueCount="137">
  <si>
    <t>oui</t>
  </si>
  <si>
    <t>non</t>
  </si>
  <si>
    <t>NA</t>
  </si>
  <si>
    <t>Douteux</t>
  </si>
  <si>
    <t>Nom</t>
  </si>
  <si>
    <t>DDN</t>
  </si>
  <si>
    <t>Age</t>
  </si>
  <si>
    <t>Positif</t>
  </si>
  <si>
    <t>Negatif</t>
  </si>
  <si>
    <t>IRM</t>
  </si>
  <si>
    <t>Infiltrations</t>
  </si>
  <si>
    <t>Gachette</t>
  </si>
  <si>
    <t>Gachette2</t>
  </si>
  <si>
    <t>NT</t>
  </si>
  <si>
    <t>Le goff</t>
  </si>
  <si>
    <t>gwenola</t>
  </si>
  <si>
    <t>G</t>
  </si>
  <si>
    <t>D</t>
  </si>
  <si>
    <t>SALAUN</t>
  </si>
  <si>
    <t>virginie</t>
  </si>
  <si>
    <t>OGIER</t>
  </si>
  <si>
    <t>Fabienne</t>
  </si>
  <si>
    <t>BOUIN</t>
  </si>
  <si>
    <t>Pascale</t>
  </si>
  <si>
    <t>paraspinal</t>
  </si>
  <si>
    <t>susclavier</t>
  </si>
  <si>
    <t>préSCM</t>
  </si>
  <si>
    <t>OLLIVIER</t>
  </si>
  <si>
    <t>Sandrine</t>
  </si>
  <si>
    <t>HOUSSIN</t>
  </si>
  <si>
    <t>Melinda</t>
  </si>
  <si>
    <t>GUERN RIOU</t>
  </si>
  <si>
    <t>Laurence</t>
  </si>
  <si>
    <t>MASSET</t>
  </si>
  <si>
    <t>Cedric</t>
  </si>
  <si>
    <t>LAUNEY</t>
  </si>
  <si>
    <t>Floriane</t>
  </si>
  <si>
    <t>LEFORT</t>
  </si>
  <si>
    <t>Erick</t>
  </si>
  <si>
    <t>NEVEU</t>
  </si>
  <si>
    <t>Marie Therese</t>
  </si>
  <si>
    <t>COLLIOT</t>
  </si>
  <si>
    <t>Marie Françoise</t>
  </si>
  <si>
    <t xml:space="preserve">FAUCHEUX </t>
  </si>
  <si>
    <t>MICKAEL</t>
  </si>
  <si>
    <t>PETAUT</t>
  </si>
  <si>
    <t>Marc</t>
  </si>
  <si>
    <t>FOUCHER</t>
  </si>
  <si>
    <t>Coralie</t>
  </si>
  <si>
    <t xml:space="preserve">LE GRAS </t>
  </si>
  <si>
    <t>Valerie</t>
  </si>
  <si>
    <t xml:space="preserve">BURBAN </t>
  </si>
  <si>
    <t>Marie Armelle</t>
  </si>
  <si>
    <t>EUZENOT</t>
  </si>
  <si>
    <t>Katia</t>
  </si>
  <si>
    <t>DUVAL</t>
  </si>
  <si>
    <t>Jeannine</t>
  </si>
  <si>
    <t>Niveau</t>
  </si>
  <si>
    <t>C1</t>
  </si>
  <si>
    <t>C2</t>
  </si>
  <si>
    <t>C3</t>
  </si>
  <si>
    <t>C4</t>
  </si>
  <si>
    <t>C5</t>
  </si>
  <si>
    <t>C6</t>
  </si>
  <si>
    <t>C7</t>
  </si>
  <si>
    <t>C8</t>
  </si>
  <si>
    <t>Common</t>
  </si>
  <si>
    <t>Bruno</t>
  </si>
  <si>
    <t>KALYN</t>
  </si>
  <si>
    <t>Anthony</t>
  </si>
  <si>
    <t xml:space="preserve">DEAN </t>
  </si>
  <si>
    <t>Jean Malo</t>
  </si>
  <si>
    <t>TAJ</t>
  </si>
  <si>
    <t>KHADIJA</t>
  </si>
  <si>
    <t>VALET</t>
  </si>
  <si>
    <t>Danielle</t>
  </si>
  <si>
    <t>ISIDORE</t>
  </si>
  <si>
    <t>Martine</t>
  </si>
  <si>
    <t>MARTIN</t>
  </si>
  <si>
    <t>Nicolas</t>
  </si>
  <si>
    <t xml:space="preserve">MARTIN </t>
  </si>
  <si>
    <t>MARTINS</t>
  </si>
  <si>
    <t>Frederic</t>
  </si>
  <si>
    <t>MTIMET</t>
  </si>
  <si>
    <t xml:space="preserve">Laura </t>
  </si>
  <si>
    <t>GURY</t>
  </si>
  <si>
    <t>Mathieu</t>
  </si>
  <si>
    <t xml:space="preserve">BRIAND </t>
  </si>
  <si>
    <t>anne</t>
  </si>
  <si>
    <t>GERMON</t>
  </si>
  <si>
    <t>RETIF</t>
  </si>
  <si>
    <t>Elodie</t>
  </si>
  <si>
    <t>ARRAS</t>
  </si>
  <si>
    <t>Drissia</t>
  </si>
  <si>
    <t>VASILE</t>
  </si>
  <si>
    <t>Ionel</t>
  </si>
  <si>
    <t>BUZARE</t>
  </si>
  <si>
    <t>Christelle</t>
  </si>
  <si>
    <t>POIRIER</t>
  </si>
  <si>
    <t>CLOLUS</t>
  </si>
  <si>
    <t>Laurent</t>
  </si>
  <si>
    <t>AUSSANT</t>
  </si>
  <si>
    <t>Daniele</t>
  </si>
  <si>
    <t>LE LAUSQUE</t>
  </si>
  <si>
    <t>Angelique</t>
  </si>
  <si>
    <t>BUSNEL</t>
  </si>
  <si>
    <t>Herve</t>
  </si>
  <si>
    <t xml:space="preserve">MACE </t>
  </si>
  <si>
    <t>Canelle</t>
  </si>
  <si>
    <t>MAGOMADOVA</t>
  </si>
  <si>
    <t>Baneta</t>
  </si>
  <si>
    <t>BIENASSIS</t>
  </si>
  <si>
    <t>CHESNAIS</t>
  </si>
  <si>
    <t>François</t>
  </si>
  <si>
    <t>FEREY</t>
  </si>
  <si>
    <t>Emmanuel</t>
  </si>
  <si>
    <t>DESCHAMPS</t>
  </si>
  <si>
    <t>Emeline</t>
  </si>
  <si>
    <t>BOREY</t>
  </si>
  <si>
    <t>Christine</t>
  </si>
  <si>
    <t>ID_patient</t>
  </si>
  <si>
    <t>prenom</t>
  </si>
  <si>
    <t>Date_de_recueil</t>
  </si>
  <si>
    <t>Examen_Clinique</t>
  </si>
  <si>
    <t>Resultat_Inf</t>
  </si>
  <si>
    <t>Gold_Standard</t>
  </si>
  <si>
    <t>U2a_E1</t>
  </si>
  <si>
    <t>U3_E1</t>
  </si>
  <si>
    <t>Sc_E1</t>
  </si>
  <si>
    <t>U1_E2</t>
  </si>
  <si>
    <t>U2a_E2</t>
  </si>
  <si>
    <t>U2b_E2</t>
  </si>
  <si>
    <t>U3_E2</t>
  </si>
  <si>
    <t>Sc_E2</t>
  </si>
  <si>
    <t>Cote</t>
  </si>
  <si>
    <t>U1_E1</t>
  </si>
  <si>
    <t>U2b_E1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</si>
</sst>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ueil" displayName="Recueil" ref="B1:Y55" totalsRowShown="0">
  <autoFilter ref="B1:Y55" xr:uid="{00000000-0009-0000-0100-000003000000}"/>
  <tableColumns count="24">
    <tableColumn id="1" xr3:uid="{00000000-0010-0000-0000-000001000000}" name="Nom"/>
    <tableColumn id="2" xr3:uid="{00000000-0010-0000-0000-000002000000}" name="prenom"/>
    <tableColumn id="3" xr3:uid="{00000000-0010-0000-0000-000003000000}" name="DDN"/>
    <tableColumn id="13" xr3:uid="{00000000-0010-0000-0000-00000D000000}" name="Date_de_recueil"/>
    <tableColumn id="4" xr3:uid="{00000000-0010-0000-0000-000004000000}" name="Age" dataDxfId="0">
      <calculatedColumnFormula>INT((Recueil[[#This Row],[Date_de_recueil]]-Recueil[[#This Row],[DDN]])/365)</calculatedColumnFormula>
    </tableColumn>
    <tableColumn id="5" xr3:uid="{00000000-0010-0000-0000-000005000000}" name="Cote"/>
    <tableColumn id="14" xr3:uid="{00000000-0010-0000-0000-00000E000000}" name="Niveau"/>
    <tableColumn id="6" xr3:uid="{00000000-0010-0000-0000-000006000000}" name="Examen_Clinique"/>
    <tableColumn id="7" xr3:uid="{00000000-0010-0000-0000-000007000000}" name="IRM"/>
    <tableColumn id="8" xr3:uid="{00000000-0010-0000-0000-000008000000}" name="Infiltrations"/>
    <tableColumn id="27" xr3:uid="{00000000-0010-0000-0000-00001B000000}" name="Resultat_Inf"/>
    <tableColumn id="9" xr3:uid="{00000000-0010-0000-0000-000009000000}" name="Gold_Standard"/>
    <tableColumn id="10" xr3:uid="{00000000-0010-0000-0000-00000A000000}" name="U1_E1"/>
    <tableColumn id="18" xr3:uid="{00000000-0010-0000-0000-000012000000}" name="U2a_E1"/>
    <tableColumn id="17" xr3:uid="{00000000-0010-0000-0000-000011000000}" name="U2b_E1"/>
    <tableColumn id="16" xr3:uid="{00000000-0010-0000-0000-000010000000}" name="U3_E1"/>
    <tableColumn id="19" xr3:uid="{00000000-0010-0000-0000-000013000000}" name="Sc_E1"/>
    <tableColumn id="11" xr3:uid="{00000000-0010-0000-0000-00000B000000}" name="Gachette"/>
    <tableColumn id="20" xr3:uid="{00000000-0010-0000-0000-000014000000}" name="U1_E2"/>
    <tableColumn id="21" xr3:uid="{00000000-0010-0000-0000-000015000000}" name="U2a_E2"/>
    <tableColumn id="22" xr3:uid="{00000000-0010-0000-0000-000016000000}" name="U2b_E2"/>
    <tableColumn id="23" xr3:uid="{00000000-0010-0000-0000-000017000000}" name="U3_E2"/>
    <tableColumn id="24" xr3:uid="{00000000-0010-0000-0000-000018000000}" name="Sc_E2"/>
    <tableColumn id="25" xr3:uid="{00000000-0010-0000-0000-000019000000}" name="Gachet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5"/>
  <sheetViews>
    <sheetView tabSelected="1" zoomScale="137" zoomScaleNormal="137" workbookViewId="0">
      <selection activeCell="C22" sqref="C22"/>
    </sheetView>
  </sheetViews>
  <sheetFormatPr baseColWidth="10" defaultRowHeight="15" x14ac:dyDescent="0.2"/>
  <cols>
    <col min="2" max="2" width="13.33203125" customWidth="1"/>
    <col min="3" max="3" width="18" customWidth="1"/>
    <col min="4" max="4" width="13.83203125" customWidth="1"/>
    <col min="5" max="5" width="17.5" customWidth="1"/>
    <col min="6" max="7" width="11.5" customWidth="1"/>
    <col min="8" max="8" width="15.1640625" customWidth="1"/>
    <col min="9" max="9" width="11.5" customWidth="1"/>
    <col min="10" max="11" width="16.5" customWidth="1"/>
    <col min="12" max="12" width="11.5" customWidth="1"/>
    <col min="13" max="17" width="12.5" customWidth="1"/>
    <col min="18" max="18" width="11.5" customWidth="1"/>
  </cols>
  <sheetData>
    <row r="1" spans="1:25" x14ac:dyDescent="0.2">
      <c r="A1" t="s">
        <v>120</v>
      </c>
      <c r="B1" t="s">
        <v>4</v>
      </c>
      <c r="C1" t="s">
        <v>121</v>
      </c>
      <c r="D1" t="s">
        <v>5</v>
      </c>
      <c r="E1" t="s">
        <v>122</v>
      </c>
      <c r="F1" t="s">
        <v>6</v>
      </c>
      <c r="G1" t="s">
        <v>134</v>
      </c>
      <c r="H1" t="s">
        <v>57</v>
      </c>
      <c r="I1" t="s">
        <v>123</v>
      </c>
      <c r="J1" t="s">
        <v>9</v>
      </c>
      <c r="K1" t="s">
        <v>10</v>
      </c>
      <c r="L1" t="s">
        <v>124</v>
      </c>
      <c r="M1" t="s">
        <v>125</v>
      </c>
      <c r="N1" s="2" t="s">
        <v>135</v>
      </c>
      <c r="O1" s="2" t="s">
        <v>126</v>
      </c>
      <c r="P1" s="2" t="s">
        <v>136</v>
      </c>
      <c r="Q1" s="2" t="s">
        <v>127</v>
      </c>
      <c r="R1" s="2" t="s">
        <v>128</v>
      </c>
      <c r="S1" s="2" t="s">
        <v>11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12</v>
      </c>
    </row>
    <row r="2" spans="1:25" x14ac:dyDescent="0.2">
      <c r="A2">
        <v>1</v>
      </c>
      <c r="B2" t="s">
        <v>14</v>
      </c>
      <c r="C2" t="s">
        <v>15</v>
      </c>
      <c r="D2" s="1">
        <v>28100</v>
      </c>
      <c r="E2" s="1">
        <v>45572</v>
      </c>
      <c r="F2">
        <f>INT((Recueil[[#This Row],[Date_de_recueil]]-Recueil[[#This Row],[DDN]])/365)</f>
        <v>47</v>
      </c>
      <c r="G2" t="s">
        <v>16</v>
      </c>
      <c r="I2" t="s">
        <v>7</v>
      </c>
      <c r="J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13</v>
      </c>
      <c r="T2" t="s">
        <v>7</v>
      </c>
      <c r="U2" t="s">
        <v>7</v>
      </c>
      <c r="V2" t="s">
        <v>7</v>
      </c>
      <c r="W2" t="s">
        <v>7</v>
      </c>
      <c r="X2" t="s">
        <v>13</v>
      </c>
    </row>
    <row r="3" spans="1:25" x14ac:dyDescent="0.2">
      <c r="A3">
        <v>2</v>
      </c>
      <c r="B3" t="s">
        <v>18</v>
      </c>
      <c r="C3" t="s">
        <v>19</v>
      </c>
      <c r="D3" s="1">
        <v>28397</v>
      </c>
      <c r="E3" s="1">
        <v>45453</v>
      </c>
      <c r="F3">
        <f>INT((Recueil[[#This Row],[Date_de_recueil]]-Recueil[[#This Row],[DDN]])/365)</f>
        <v>46</v>
      </c>
      <c r="G3" t="s">
        <v>16</v>
      </c>
      <c r="I3" t="s">
        <v>7</v>
      </c>
      <c r="J3" t="s">
        <v>8</v>
      </c>
      <c r="K3" t="s">
        <v>1</v>
      </c>
      <c r="M3" t="s">
        <v>8</v>
      </c>
      <c r="N3" t="s">
        <v>7</v>
      </c>
      <c r="O3" t="s">
        <v>7</v>
      </c>
      <c r="P3" t="s">
        <v>8</v>
      </c>
      <c r="Q3" t="s">
        <v>7</v>
      </c>
      <c r="R3" t="s">
        <v>8</v>
      </c>
      <c r="T3" t="s">
        <v>7</v>
      </c>
      <c r="U3" t="s">
        <v>7</v>
      </c>
      <c r="V3" t="s">
        <v>7</v>
      </c>
      <c r="W3" t="s">
        <v>7</v>
      </c>
      <c r="X3" t="s">
        <v>8</v>
      </c>
    </row>
    <row r="4" spans="1:25" x14ac:dyDescent="0.2">
      <c r="A4">
        <v>3</v>
      </c>
      <c r="B4" t="s">
        <v>20</v>
      </c>
      <c r="C4" t="s">
        <v>21</v>
      </c>
      <c r="D4" s="1">
        <v>26778</v>
      </c>
      <c r="E4" s="1">
        <v>45572</v>
      </c>
      <c r="F4">
        <f>INT((Recueil[[#This Row],[Date_de_recueil]]-Recueil[[#This Row],[DDN]])/365)</f>
        <v>51</v>
      </c>
      <c r="G4" t="s">
        <v>17</v>
      </c>
      <c r="I4" t="s">
        <v>7</v>
      </c>
      <c r="J4" t="s">
        <v>7</v>
      </c>
      <c r="K4" t="s">
        <v>0</v>
      </c>
      <c r="L4" t="s">
        <v>8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8</v>
      </c>
      <c r="T4" t="s">
        <v>7</v>
      </c>
      <c r="U4" t="s">
        <v>7</v>
      </c>
      <c r="V4" t="s">
        <v>7</v>
      </c>
      <c r="W4" t="s">
        <v>7</v>
      </c>
      <c r="X4" t="s">
        <v>8</v>
      </c>
    </row>
    <row r="5" spans="1:25" x14ac:dyDescent="0.2">
      <c r="A5">
        <v>4</v>
      </c>
      <c r="B5" t="s">
        <v>22</v>
      </c>
      <c r="C5" t="s">
        <v>23</v>
      </c>
      <c r="D5" s="1">
        <v>21806</v>
      </c>
      <c r="E5" s="1">
        <v>45453</v>
      </c>
      <c r="F5">
        <f>INT((Recueil[[#This Row],[Date_de_recueil]]-Recueil[[#This Row],[DDN]])/365)</f>
        <v>64</v>
      </c>
      <c r="G5" t="s">
        <v>17</v>
      </c>
      <c r="I5" t="s">
        <v>7</v>
      </c>
      <c r="J5" t="s">
        <v>7</v>
      </c>
      <c r="K5" t="s">
        <v>0</v>
      </c>
      <c r="L5" t="s">
        <v>7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25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25</v>
      </c>
    </row>
    <row r="6" spans="1:25" x14ac:dyDescent="0.2">
      <c r="A6">
        <v>5</v>
      </c>
      <c r="B6" t="s">
        <v>27</v>
      </c>
      <c r="C6" t="s">
        <v>28</v>
      </c>
      <c r="D6" s="1">
        <v>27971</v>
      </c>
      <c r="E6" s="1">
        <v>45600</v>
      </c>
      <c r="F6">
        <f>INT((Recueil[[#This Row],[Date_de_recueil]]-Recueil[[#This Row],[DDN]])/365)</f>
        <v>48</v>
      </c>
      <c r="G6" t="s">
        <v>16</v>
      </c>
      <c r="I6" t="s">
        <v>8</v>
      </c>
      <c r="J6" t="s">
        <v>7</v>
      </c>
      <c r="K6" t="s">
        <v>0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8</v>
      </c>
      <c r="R6" t="s">
        <v>7</v>
      </c>
      <c r="S6" t="s">
        <v>25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25</v>
      </c>
    </row>
    <row r="7" spans="1:25" x14ac:dyDescent="0.2">
      <c r="A7">
        <v>6</v>
      </c>
      <c r="B7" t="s">
        <v>29</v>
      </c>
      <c r="C7" t="s">
        <v>30</v>
      </c>
      <c r="D7" s="1">
        <v>31411</v>
      </c>
      <c r="E7" s="1">
        <v>45579</v>
      </c>
      <c r="F7">
        <f>INT((Recueil[[#This Row],[Date_de_recueil]]-Recueil[[#This Row],[DDN]])/365)</f>
        <v>38</v>
      </c>
      <c r="G7" t="s">
        <v>16</v>
      </c>
      <c r="I7" t="s">
        <v>7</v>
      </c>
      <c r="J7" t="s">
        <v>7</v>
      </c>
      <c r="M7" t="s">
        <v>7</v>
      </c>
      <c r="N7" t="s">
        <v>7</v>
      </c>
      <c r="O7" t="s">
        <v>8</v>
      </c>
      <c r="P7" t="s">
        <v>8</v>
      </c>
      <c r="Q7" t="s">
        <v>8</v>
      </c>
      <c r="R7" t="s">
        <v>7</v>
      </c>
      <c r="S7" t="s">
        <v>24</v>
      </c>
      <c r="T7" t="s">
        <v>7</v>
      </c>
      <c r="U7" t="s">
        <v>7</v>
      </c>
      <c r="V7" t="s">
        <v>7</v>
      </c>
      <c r="W7" t="s">
        <v>7</v>
      </c>
      <c r="X7" t="s">
        <v>7</v>
      </c>
      <c r="Y7" t="s">
        <v>24</v>
      </c>
    </row>
    <row r="8" spans="1:25" x14ac:dyDescent="0.2">
      <c r="A8">
        <v>7</v>
      </c>
      <c r="B8" t="s">
        <v>31</v>
      </c>
      <c r="C8" t="s">
        <v>32</v>
      </c>
      <c r="D8" s="1">
        <v>25837</v>
      </c>
      <c r="E8" s="1">
        <v>45572</v>
      </c>
      <c r="F8">
        <f>INT((Recueil[[#This Row],[Date_de_recueil]]-Recueil[[#This Row],[DDN]])/365)</f>
        <v>54</v>
      </c>
      <c r="G8" t="s">
        <v>17</v>
      </c>
      <c r="I8" t="s">
        <v>7</v>
      </c>
      <c r="J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8</v>
      </c>
      <c r="T8" t="s">
        <v>8</v>
      </c>
      <c r="U8" t="s">
        <v>7</v>
      </c>
      <c r="V8" t="s">
        <v>7</v>
      </c>
      <c r="W8" t="s">
        <v>8</v>
      </c>
      <c r="X8" t="s">
        <v>8</v>
      </c>
    </row>
    <row r="9" spans="1:25" x14ac:dyDescent="0.2">
      <c r="A9">
        <v>8</v>
      </c>
      <c r="B9" t="s">
        <v>31</v>
      </c>
      <c r="C9" t="s">
        <v>32</v>
      </c>
      <c r="D9" s="1">
        <v>25837</v>
      </c>
      <c r="E9" s="1">
        <v>45572</v>
      </c>
      <c r="F9">
        <f>INT((Recueil[[#This Row],[Date_de_recueil]]-Recueil[[#This Row],[DDN]])/365)</f>
        <v>54</v>
      </c>
      <c r="G9" t="s">
        <v>16</v>
      </c>
      <c r="I9" t="s">
        <v>8</v>
      </c>
      <c r="J9" t="s">
        <v>8</v>
      </c>
      <c r="M9" t="s">
        <v>8</v>
      </c>
      <c r="N9" t="s">
        <v>8</v>
      </c>
      <c r="O9" t="s">
        <v>8</v>
      </c>
      <c r="P9" t="s">
        <v>7</v>
      </c>
      <c r="Q9" t="s">
        <v>8</v>
      </c>
      <c r="R9" t="s">
        <v>8</v>
      </c>
      <c r="T9" t="s">
        <v>7</v>
      </c>
      <c r="U9" t="s">
        <v>8</v>
      </c>
      <c r="V9" t="s">
        <v>7</v>
      </c>
      <c r="W9" t="s">
        <v>8</v>
      </c>
      <c r="X9" t="s">
        <v>8</v>
      </c>
    </row>
    <row r="10" spans="1:25" x14ac:dyDescent="0.2">
      <c r="A10">
        <v>9</v>
      </c>
      <c r="B10" t="s">
        <v>33</v>
      </c>
      <c r="C10" t="s">
        <v>34</v>
      </c>
      <c r="D10" s="1">
        <v>28160</v>
      </c>
      <c r="E10" s="1">
        <v>45513</v>
      </c>
      <c r="F10">
        <f>INT((Recueil[[#This Row],[Date_de_recueil]]-Recueil[[#This Row],[DDN]])/365)</f>
        <v>47</v>
      </c>
      <c r="G10" t="s">
        <v>17</v>
      </c>
      <c r="I10" t="s">
        <v>7</v>
      </c>
      <c r="J10" t="s">
        <v>7</v>
      </c>
      <c r="M10" t="s">
        <v>7</v>
      </c>
      <c r="N10" t="s">
        <v>8</v>
      </c>
      <c r="O10" t="s">
        <v>7</v>
      </c>
      <c r="P10" t="s">
        <v>7</v>
      </c>
      <c r="Q10" t="s">
        <v>8</v>
      </c>
      <c r="R10" t="s">
        <v>8</v>
      </c>
      <c r="T10" t="s">
        <v>7</v>
      </c>
      <c r="U10" t="s">
        <v>7</v>
      </c>
      <c r="V10" t="s">
        <v>7</v>
      </c>
      <c r="W10" t="s">
        <v>7</v>
      </c>
      <c r="X10" t="s">
        <v>8</v>
      </c>
    </row>
    <row r="11" spans="1:25" x14ac:dyDescent="0.2">
      <c r="A11">
        <v>10</v>
      </c>
      <c r="B11" t="s">
        <v>33</v>
      </c>
      <c r="C11" t="s">
        <v>34</v>
      </c>
      <c r="D11" s="1">
        <v>28160</v>
      </c>
      <c r="E11" s="1">
        <v>45513</v>
      </c>
      <c r="F11">
        <f>INT((Recueil[[#This Row],[Date_de_recueil]]-Recueil[[#This Row],[DDN]])/365)</f>
        <v>47</v>
      </c>
      <c r="G11" t="s">
        <v>16</v>
      </c>
      <c r="I11" t="s">
        <v>7</v>
      </c>
      <c r="J11" t="s">
        <v>7</v>
      </c>
      <c r="M11" t="s">
        <v>7</v>
      </c>
      <c r="N11" t="s">
        <v>8</v>
      </c>
      <c r="O11" t="s">
        <v>7</v>
      </c>
      <c r="P11" t="s">
        <v>7</v>
      </c>
      <c r="Q11" t="s">
        <v>8</v>
      </c>
      <c r="R11" t="s">
        <v>8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26</v>
      </c>
    </row>
    <row r="12" spans="1:25" x14ac:dyDescent="0.2">
      <c r="A12">
        <v>11</v>
      </c>
      <c r="B12" t="s">
        <v>35</v>
      </c>
      <c r="C12" t="s">
        <v>36</v>
      </c>
      <c r="D12" s="1">
        <v>32405</v>
      </c>
      <c r="E12" s="1">
        <v>45508</v>
      </c>
      <c r="F12">
        <f>INT((Recueil[[#This Row],[Date_de_recueil]]-Recueil[[#This Row],[DDN]])/365)</f>
        <v>35</v>
      </c>
      <c r="G12" t="s">
        <v>17</v>
      </c>
      <c r="I12" t="s">
        <v>7</v>
      </c>
      <c r="J12" t="s">
        <v>7</v>
      </c>
      <c r="K12" t="s">
        <v>1</v>
      </c>
      <c r="M12" t="s">
        <v>7</v>
      </c>
      <c r="N12" t="s">
        <v>7</v>
      </c>
      <c r="O12" t="s">
        <v>7</v>
      </c>
      <c r="P12" t="s">
        <v>7</v>
      </c>
      <c r="Q12" t="s">
        <v>8</v>
      </c>
      <c r="R12" t="s">
        <v>8</v>
      </c>
      <c r="T12" t="s">
        <v>7</v>
      </c>
      <c r="U12" t="s">
        <v>8</v>
      </c>
      <c r="V12" t="s">
        <v>7</v>
      </c>
      <c r="W12" t="s">
        <v>8</v>
      </c>
      <c r="X12" t="s">
        <v>8</v>
      </c>
    </row>
    <row r="13" spans="1:25" x14ac:dyDescent="0.2">
      <c r="A13">
        <v>12</v>
      </c>
      <c r="B13" t="s">
        <v>37</v>
      </c>
      <c r="C13" t="s">
        <v>38</v>
      </c>
      <c r="D13" s="1">
        <v>24766</v>
      </c>
      <c r="E13" s="1">
        <v>45460</v>
      </c>
      <c r="F13">
        <f>INT((Recueil[[#This Row],[Date_de_recueil]]-Recueil[[#This Row],[DDN]])/365)</f>
        <v>56</v>
      </c>
      <c r="G13" t="s">
        <v>17</v>
      </c>
      <c r="I13" t="s">
        <v>7</v>
      </c>
      <c r="J13" t="s">
        <v>7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8</v>
      </c>
      <c r="T13" t="s">
        <v>7</v>
      </c>
      <c r="U13" t="s">
        <v>7</v>
      </c>
      <c r="V13" t="s">
        <v>8</v>
      </c>
      <c r="W13" t="s">
        <v>7</v>
      </c>
      <c r="X13" t="s">
        <v>8</v>
      </c>
    </row>
    <row r="14" spans="1:25" x14ac:dyDescent="0.2">
      <c r="A14">
        <v>13</v>
      </c>
      <c r="B14" t="s">
        <v>39</v>
      </c>
      <c r="C14" t="s">
        <v>40</v>
      </c>
      <c r="D14" s="1">
        <v>21945</v>
      </c>
      <c r="E14" s="1">
        <v>45460</v>
      </c>
      <c r="F14">
        <f>INT((Recueil[[#This Row],[Date_de_recueil]]-Recueil[[#This Row],[DDN]])/365)</f>
        <v>64</v>
      </c>
      <c r="G14" t="s">
        <v>16</v>
      </c>
      <c r="I14" t="s">
        <v>7</v>
      </c>
      <c r="J14" t="s">
        <v>7</v>
      </c>
      <c r="M14" t="s">
        <v>7</v>
      </c>
      <c r="N14" t="s">
        <v>8</v>
      </c>
      <c r="O14" t="s">
        <v>7</v>
      </c>
      <c r="P14" t="s">
        <v>7</v>
      </c>
      <c r="Q14" t="s">
        <v>7</v>
      </c>
      <c r="R14" t="s">
        <v>7</v>
      </c>
      <c r="S14" t="s">
        <v>25</v>
      </c>
      <c r="T14" t="s">
        <v>7</v>
      </c>
      <c r="U14" t="s">
        <v>7</v>
      </c>
      <c r="V14" t="s">
        <v>8</v>
      </c>
      <c r="W14" t="s">
        <v>7</v>
      </c>
      <c r="X14" t="s">
        <v>7</v>
      </c>
      <c r="Y14" t="s">
        <v>24</v>
      </c>
    </row>
    <row r="15" spans="1:25" x14ac:dyDescent="0.2">
      <c r="A15">
        <v>14</v>
      </c>
      <c r="B15" t="s">
        <v>41</v>
      </c>
      <c r="C15" t="s">
        <v>42</v>
      </c>
      <c r="D15" s="1">
        <v>21903</v>
      </c>
      <c r="E15" s="1">
        <v>45628</v>
      </c>
      <c r="F15">
        <f>INT((Recueil[[#This Row],[Date_de_recueil]]-Recueil[[#This Row],[DDN]])/365)</f>
        <v>65</v>
      </c>
      <c r="G15" t="s">
        <v>16</v>
      </c>
      <c r="I15" t="s">
        <v>7</v>
      </c>
      <c r="J15" t="s">
        <v>8</v>
      </c>
      <c r="M15" t="s">
        <v>8</v>
      </c>
      <c r="N15" t="s">
        <v>7</v>
      </c>
      <c r="O15" t="s">
        <v>7</v>
      </c>
      <c r="P15" t="s">
        <v>8</v>
      </c>
      <c r="Q15" t="s">
        <v>8</v>
      </c>
      <c r="R15" t="s">
        <v>8</v>
      </c>
      <c r="T15" t="s">
        <v>7</v>
      </c>
      <c r="U15" t="s">
        <v>8</v>
      </c>
      <c r="V15" t="s">
        <v>8</v>
      </c>
      <c r="W15" t="s">
        <v>8</v>
      </c>
      <c r="X15" t="s">
        <v>8</v>
      </c>
    </row>
    <row r="16" spans="1:25" x14ac:dyDescent="0.2">
      <c r="A16">
        <v>15</v>
      </c>
      <c r="B16" t="s">
        <v>43</v>
      </c>
      <c r="C16" t="s">
        <v>44</v>
      </c>
      <c r="D16" s="1">
        <v>30027</v>
      </c>
      <c r="E16" s="1">
        <v>45583</v>
      </c>
      <c r="F16">
        <f>INT((Recueil[[#This Row],[Date_de_recueil]]-Recueil[[#This Row],[DDN]])/365)</f>
        <v>42</v>
      </c>
      <c r="G16" t="s">
        <v>16</v>
      </c>
      <c r="I16" t="s">
        <v>7</v>
      </c>
      <c r="J16" t="s">
        <v>7</v>
      </c>
      <c r="M16" t="s">
        <v>7</v>
      </c>
      <c r="N16" t="s">
        <v>7</v>
      </c>
      <c r="O16" t="s">
        <v>8</v>
      </c>
      <c r="P16" t="s">
        <v>7</v>
      </c>
      <c r="Q16" t="s">
        <v>8</v>
      </c>
      <c r="T16" t="s">
        <v>7</v>
      </c>
      <c r="U16" t="s">
        <v>8</v>
      </c>
      <c r="V16" t="s">
        <v>7</v>
      </c>
      <c r="W16" t="s">
        <v>8</v>
      </c>
      <c r="X16" t="s">
        <v>8</v>
      </c>
    </row>
    <row r="17" spans="1:37" x14ac:dyDescent="0.2">
      <c r="A17">
        <v>16</v>
      </c>
      <c r="B17" t="s">
        <v>45</v>
      </c>
      <c r="C17" t="s">
        <v>46</v>
      </c>
      <c r="D17" s="1">
        <v>24889</v>
      </c>
      <c r="E17" s="1">
        <v>45460</v>
      </c>
      <c r="F17">
        <f>INT((Recueil[[#This Row],[Date_de_recueil]]-Recueil[[#This Row],[DDN]])/365)</f>
        <v>56</v>
      </c>
      <c r="G17" t="s">
        <v>16</v>
      </c>
      <c r="I17" t="s">
        <v>7</v>
      </c>
      <c r="J17" t="s">
        <v>7</v>
      </c>
      <c r="K17" t="s">
        <v>0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8</v>
      </c>
      <c r="R17" t="s">
        <v>7</v>
      </c>
      <c r="S17" t="s">
        <v>24</v>
      </c>
      <c r="T17" t="s">
        <v>7</v>
      </c>
      <c r="U17" t="s">
        <v>7</v>
      </c>
      <c r="V17" t="s">
        <v>7</v>
      </c>
      <c r="W17" t="s">
        <v>7</v>
      </c>
      <c r="X17" t="s">
        <v>8</v>
      </c>
    </row>
    <row r="18" spans="1:37" x14ac:dyDescent="0.2">
      <c r="A18">
        <v>17</v>
      </c>
      <c r="B18" t="s">
        <v>47</v>
      </c>
      <c r="C18" t="s">
        <v>48</v>
      </c>
      <c r="D18" s="1">
        <v>32076</v>
      </c>
      <c r="E18" s="1">
        <v>45439</v>
      </c>
      <c r="F18">
        <f>INT((Recueil[[#This Row],[Date_de_recueil]]-Recueil[[#This Row],[DDN]])/365)</f>
        <v>36</v>
      </c>
      <c r="G18" t="s">
        <v>17</v>
      </c>
      <c r="I18" t="s">
        <v>7</v>
      </c>
      <c r="J18" t="s">
        <v>8</v>
      </c>
      <c r="M18" t="s">
        <v>8</v>
      </c>
      <c r="N18" t="s">
        <v>7</v>
      </c>
      <c r="O18" t="s">
        <v>7</v>
      </c>
      <c r="P18" t="s">
        <v>7</v>
      </c>
      <c r="Q18" t="s">
        <v>7</v>
      </c>
      <c r="R18" t="s">
        <v>8</v>
      </c>
      <c r="T18" t="s">
        <v>7</v>
      </c>
      <c r="U18" t="s">
        <v>7</v>
      </c>
      <c r="V18" t="s">
        <v>7</v>
      </c>
      <c r="W18" t="s">
        <v>7</v>
      </c>
      <c r="X18" t="s">
        <v>8</v>
      </c>
    </row>
    <row r="19" spans="1:37" x14ac:dyDescent="0.2">
      <c r="A19">
        <v>18</v>
      </c>
      <c r="B19" t="s">
        <v>49</v>
      </c>
      <c r="C19" t="s">
        <v>50</v>
      </c>
      <c r="D19" s="1">
        <v>24117</v>
      </c>
      <c r="E19" s="1">
        <v>45439</v>
      </c>
      <c r="F19">
        <f>INT((Recueil[[#This Row],[Date_de_recueil]]-Recueil[[#This Row],[DDN]])/365)</f>
        <v>58</v>
      </c>
      <c r="G19" t="s">
        <v>16</v>
      </c>
      <c r="I19" t="s">
        <v>7</v>
      </c>
      <c r="J19" t="s">
        <v>7</v>
      </c>
      <c r="K19" t="s">
        <v>0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8</v>
      </c>
      <c r="T19" t="s">
        <v>7</v>
      </c>
      <c r="U19" t="s">
        <v>7</v>
      </c>
      <c r="V19" t="s">
        <v>7</v>
      </c>
      <c r="W19" t="s">
        <v>7</v>
      </c>
      <c r="X19" t="s">
        <v>7</v>
      </c>
      <c r="Y19" t="s">
        <v>25</v>
      </c>
    </row>
    <row r="20" spans="1:37" x14ac:dyDescent="0.2">
      <c r="A20">
        <v>19</v>
      </c>
      <c r="B20" t="s">
        <v>51</v>
      </c>
      <c r="C20" t="s">
        <v>52</v>
      </c>
      <c r="D20" s="1">
        <v>24616</v>
      </c>
      <c r="E20" s="1">
        <v>45436</v>
      </c>
      <c r="F20">
        <f>INT((Recueil[[#This Row],[Date_de_recueil]]-Recueil[[#This Row],[DDN]])/365)</f>
        <v>57</v>
      </c>
      <c r="G20" t="s">
        <v>16</v>
      </c>
      <c r="I20" t="s">
        <v>7</v>
      </c>
      <c r="J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8</v>
      </c>
      <c r="R20" t="s">
        <v>7</v>
      </c>
      <c r="S20" t="s">
        <v>25</v>
      </c>
      <c r="T20" t="s">
        <v>7</v>
      </c>
      <c r="U20" t="s">
        <v>7</v>
      </c>
      <c r="V20" t="s">
        <v>7</v>
      </c>
      <c r="W20" t="s">
        <v>8</v>
      </c>
      <c r="X20" t="s">
        <v>8</v>
      </c>
    </row>
    <row r="21" spans="1:37" x14ac:dyDescent="0.2">
      <c r="A21">
        <v>20</v>
      </c>
      <c r="B21" t="s">
        <v>53</v>
      </c>
      <c r="C21" t="s">
        <v>54</v>
      </c>
      <c r="D21" s="1">
        <v>26928</v>
      </c>
      <c r="E21" s="1">
        <v>45677</v>
      </c>
      <c r="F21">
        <f>INT((Recueil[[#This Row],[Date_de_recueil]]-Recueil[[#This Row],[DDN]])/365)</f>
        <v>51</v>
      </c>
      <c r="G21" t="s">
        <v>17</v>
      </c>
      <c r="I21" t="s">
        <v>7</v>
      </c>
      <c r="J21" t="s">
        <v>7</v>
      </c>
      <c r="K21" t="s">
        <v>0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  <c r="Q21" t="s">
        <v>8</v>
      </c>
      <c r="R21" t="s">
        <v>7</v>
      </c>
      <c r="S21" t="s">
        <v>24</v>
      </c>
      <c r="T21" t="s">
        <v>7</v>
      </c>
      <c r="U21" t="s">
        <v>7</v>
      </c>
      <c r="V21" t="s">
        <v>8</v>
      </c>
      <c r="W21" t="s">
        <v>8</v>
      </c>
      <c r="X21" t="s">
        <v>8</v>
      </c>
    </row>
    <row r="22" spans="1:37" x14ac:dyDescent="0.2">
      <c r="A22">
        <v>21</v>
      </c>
      <c r="B22" t="s">
        <v>55</v>
      </c>
      <c r="C22" t="s">
        <v>56</v>
      </c>
      <c r="D22" s="1">
        <v>18705</v>
      </c>
      <c r="E22" s="1">
        <v>45670</v>
      </c>
      <c r="F22">
        <f>INT((Recueil[[#This Row],[Date_de_recueil]]-Recueil[[#This Row],[DDN]])/365)</f>
        <v>73</v>
      </c>
      <c r="G22" t="s">
        <v>17</v>
      </c>
      <c r="H22" t="s">
        <v>63</v>
      </c>
      <c r="I22" t="s">
        <v>7</v>
      </c>
      <c r="J22" t="s">
        <v>7</v>
      </c>
      <c r="M22" t="s">
        <v>7</v>
      </c>
      <c r="N22" t="s">
        <v>7</v>
      </c>
      <c r="O22" t="s">
        <v>7</v>
      </c>
      <c r="P22" t="s">
        <v>8</v>
      </c>
      <c r="Q22" t="s">
        <v>7</v>
      </c>
      <c r="R22" t="s">
        <v>8</v>
      </c>
      <c r="T22" t="s">
        <v>7</v>
      </c>
      <c r="U22" t="s">
        <v>8</v>
      </c>
      <c r="V22" t="s">
        <v>7</v>
      </c>
      <c r="W22" t="s">
        <v>7</v>
      </c>
      <c r="X22" t="s">
        <v>7</v>
      </c>
      <c r="Y22" t="s">
        <v>25</v>
      </c>
    </row>
    <row r="23" spans="1:37" x14ac:dyDescent="0.2">
      <c r="A23">
        <v>22</v>
      </c>
      <c r="B23" t="s">
        <v>66</v>
      </c>
      <c r="C23" t="s">
        <v>67</v>
      </c>
      <c r="D23" s="1">
        <v>21611</v>
      </c>
      <c r="E23" s="1">
        <v>45667</v>
      </c>
      <c r="F23">
        <f>INT((Recueil[[#This Row],[Date_de_recueil]]-Recueil[[#This Row],[DDN]])/365)</f>
        <v>65</v>
      </c>
      <c r="G23" t="s">
        <v>16</v>
      </c>
      <c r="H23" t="s">
        <v>61</v>
      </c>
      <c r="I23" t="s">
        <v>7</v>
      </c>
      <c r="J23" t="s">
        <v>7</v>
      </c>
      <c r="M23" t="s">
        <v>7</v>
      </c>
      <c r="N23" t="s">
        <v>8</v>
      </c>
      <c r="O23" t="s">
        <v>8</v>
      </c>
      <c r="P23" t="s">
        <v>8</v>
      </c>
      <c r="Q23" t="s">
        <v>8</v>
      </c>
      <c r="R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</row>
    <row r="24" spans="1:37" x14ac:dyDescent="0.2">
      <c r="A24">
        <v>23</v>
      </c>
      <c r="B24" t="s">
        <v>68</v>
      </c>
      <c r="C24" t="s">
        <v>69</v>
      </c>
      <c r="D24" s="1">
        <v>32315</v>
      </c>
      <c r="E24" s="1">
        <v>45650</v>
      </c>
      <c r="F24">
        <f>INT((Recueil[[#This Row],[Date_de_recueil]]-Recueil[[#This Row],[DDN]])/365)</f>
        <v>36</v>
      </c>
      <c r="G24" t="s">
        <v>17</v>
      </c>
      <c r="H24" t="s">
        <v>62</v>
      </c>
      <c r="I24" t="s">
        <v>8</v>
      </c>
      <c r="J24" t="s">
        <v>8</v>
      </c>
      <c r="M24" t="s">
        <v>8</v>
      </c>
      <c r="N24" t="s">
        <v>8</v>
      </c>
      <c r="O24" t="s">
        <v>8</v>
      </c>
      <c r="P24" t="s">
        <v>8</v>
      </c>
      <c r="Q24" t="s">
        <v>8</v>
      </c>
      <c r="R24" t="s">
        <v>8</v>
      </c>
      <c r="T24" t="s">
        <v>7</v>
      </c>
      <c r="U24" t="s">
        <v>8</v>
      </c>
      <c r="V24" t="s">
        <v>8</v>
      </c>
      <c r="W24" t="s">
        <v>8</v>
      </c>
      <c r="X24" t="s">
        <v>8</v>
      </c>
    </row>
    <row r="25" spans="1:37" x14ac:dyDescent="0.2">
      <c r="A25">
        <v>24</v>
      </c>
      <c r="B25" t="s">
        <v>70</v>
      </c>
      <c r="C25" t="s">
        <v>71</v>
      </c>
      <c r="D25" s="1">
        <v>35057</v>
      </c>
      <c r="E25" s="1">
        <v>45650</v>
      </c>
      <c r="F25">
        <f>INT((Recueil[[#This Row],[Date_de_recueil]]-Recueil[[#This Row],[DDN]])/365)</f>
        <v>29</v>
      </c>
      <c r="G25" t="s">
        <v>17</v>
      </c>
      <c r="H25" t="s">
        <v>65</v>
      </c>
      <c r="I25" t="s">
        <v>8</v>
      </c>
      <c r="J25" t="s">
        <v>8</v>
      </c>
      <c r="M25" t="s">
        <v>8</v>
      </c>
      <c r="N25" t="s">
        <v>8</v>
      </c>
      <c r="O25" t="s">
        <v>8</v>
      </c>
      <c r="P25" t="s">
        <v>8</v>
      </c>
      <c r="Q25" t="s">
        <v>8</v>
      </c>
      <c r="R25" t="s">
        <v>8</v>
      </c>
      <c r="T25" t="s">
        <v>8</v>
      </c>
      <c r="U25" t="s">
        <v>8</v>
      </c>
      <c r="V25" t="s">
        <v>8</v>
      </c>
      <c r="W25" t="s">
        <v>8</v>
      </c>
      <c r="X25" t="s">
        <v>8</v>
      </c>
    </row>
    <row r="26" spans="1:37" x14ac:dyDescent="0.2">
      <c r="A26">
        <v>25</v>
      </c>
      <c r="B26" t="s">
        <v>72</v>
      </c>
      <c r="C26" t="s">
        <v>73</v>
      </c>
      <c r="D26" s="1">
        <v>29029</v>
      </c>
      <c r="E26" s="1">
        <v>45712</v>
      </c>
      <c r="F26">
        <f>INT((Recueil[[#This Row],[Date_de_recueil]]-Recueil[[#This Row],[DDN]])/365)</f>
        <v>45</v>
      </c>
      <c r="G26" t="s">
        <v>16</v>
      </c>
      <c r="H26" t="s">
        <v>63</v>
      </c>
      <c r="I26" t="s">
        <v>7</v>
      </c>
      <c r="J26" t="s">
        <v>7</v>
      </c>
      <c r="M26" t="s">
        <v>7</v>
      </c>
      <c r="N26" t="s">
        <v>7</v>
      </c>
      <c r="O26" t="s">
        <v>7</v>
      </c>
      <c r="P26" t="s">
        <v>8</v>
      </c>
      <c r="Q26" t="s">
        <v>7</v>
      </c>
      <c r="R26" t="s">
        <v>8</v>
      </c>
      <c r="T26" t="s">
        <v>7</v>
      </c>
      <c r="U26" t="s">
        <v>7</v>
      </c>
      <c r="V26" t="s">
        <v>7</v>
      </c>
      <c r="W26" t="s">
        <v>7</v>
      </c>
      <c r="X26" t="s">
        <v>8</v>
      </c>
    </row>
    <row r="27" spans="1:37" x14ac:dyDescent="0.2">
      <c r="A27">
        <v>26</v>
      </c>
      <c r="B27" t="s">
        <v>74</v>
      </c>
      <c r="C27" t="s">
        <v>75</v>
      </c>
      <c r="D27" s="1">
        <v>20742</v>
      </c>
      <c r="E27" s="1">
        <v>45693</v>
      </c>
      <c r="F27">
        <f>INT((Recueil[[#This Row],[Date_de_recueil]]-Recueil[[#This Row],[DDN]])/365)</f>
        <v>68</v>
      </c>
      <c r="G27" t="s">
        <v>17</v>
      </c>
      <c r="H27" t="s">
        <v>64</v>
      </c>
      <c r="I27" t="s">
        <v>7</v>
      </c>
      <c r="J27" t="s">
        <v>3</v>
      </c>
      <c r="M27" t="s">
        <v>3</v>
      </c>
      <c r="N27" t="s">
        <v>7</v>
      </c>
      <c r="O27" t="s">
        <v>7</v>
      </c>
      <c r="P27" t="s">
        <v>7</v>
      </c>
      <c r="Q27" t="s">
        <v>7</v>
      </c>
      <c r="R27" t="s">
        <v>13</v>
      </c>
      <c r="T27" t="s">
        <v>7</v>
      </c>
      <c r="U27" t="s">
        <v>7</v>
      </c>
      <c r="V27" t="s">
        <v>7</v>
      </c>
      <c r="W27" t="s">
        <v>7</v>
      </c>
      <c r="X27" t="s">
        <v>13</v>
      </c>
    </row>
    <row r="28" spans="1:37" x14ac:dyDescent="0.2">
      <c r="A28">
        <v>27</v>
      </c>
      <c r="B28" t="s">
        <v>76</v>
      </c>
      <c r="C28" t="s">
        <v>77</v>
      </c>
      <c r="D28" s="1">
        <v>19470</v>
      </c>
      <c r="E28" s="1">
        <v>45719</v>
      </c>
      <c r="F28">
        <f>INT((Recueil[[#This Row],[Date_de_recueil]]-Recueil[[#This Row],[DDN]])/365)</f>
        <v>71</v>
      </c>
      <c r="G28" t="s">
        <v>17</v>
      </c>
      <c r="H28" t="s">
        <v>63</v>
      </c>
      <c r="I28" t="s">
        <v>7</v>
      </c>
      <c r="J28" t="s">
        <v>7</v>
      </c>
      <c r="M28" t="s">
        <v>7</v>
      </c>
      <c r="N28" t="s">
        <v>7</v>
      </c>
      <c r="O28" t="s">
        <v>7</v>
      </c>
      <c r="P28" t="s">
        <v>8</v>
      </c>
      <c r="Q28" t="s">
        <v>8</v>
      </c>
      <c r="R28" t="s">
        <v>8</v>
      </c>
      <c r="T28" t="s">
        <v>7</v>
      </c>
      <c r="U28" t="s">
        <v>7</v>
      </c>
      <c r="V28" t="s">
        <v>8</v>
      </c>
      <c r="W28" t="s">
        <v>8</v>
      </c>
      <c r="X28" t="s">
        <v>8</v>
      </c>
    </row>
    <row r="29" spans="1:37" x14ac:dyDescent="0.2">
      <c r="A29">
        <v>28</v>
      </c>
      <c r="B29" t="s">
        <v>76</v>
      </c>
      <c r="C29" t="s">
        <v>77</v>
      </c>
      <c r="D29" s="1">
        <v>19470</v>
      </c>
      <c r="E29" s="1">
        <v>45719</v>
      </c>
      <c r="F29">
        <f>INT((Recueil[[#This Row],[Date_de_recueil]]-Recueil[[#This Row],[DDN]])/365)</f>
        <v>71</v>
      </c>
      <c r="G29" t="s">
        <v>16</v>
      </c>
      <c r="H29" t="s">
        <v>63</v>
      </c>
      <c r="I29" t="s">
        <v>7</v>
      </c>
      <c r="J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8</v>
      </c>
      <c r="R29" t="s">
        <v>8</v>
      </c>
      <c r="T29" t="s">
        <v>7</v>
      </c>
      <c r="U29" t="s">
        <v>7</v>
      </c>
      <c r="V29" t="s">
        <v>7</v>
      </c>
      <c r="W29" t="s">
        <v>8</v>
      </c>
      <c r="X29" t="s">
        <v>8</v>
      </c>
    </row>
    <row r="30" spans="1:37" x14ac:dyDescent="0.2">
      <c r="A30">
        <v>29</v>
      </c>
      <c r="B30" t="s">
        <v>78</v>
      </c>
      <c r="C30" t="s">
        <v>79</v>
      </c>
      <c r="D30" s="1">
        <v>33137</v>
      </c>
      <c r="E30" s="1">
        <v>45719</v>
      </c>
      <c r="F30">
        <v>34</v>
      </c>
      <c r="G30" t="s">
        <v>17</v>
      </c>
      <c r="H30" t="s">
        <v>65</v>
      </c>
      <c r="I30" t="s">
        <v>7</v>
      </c>
      <c r="J30" t="s">
        <v>7</v>
      </c>
      <c r="K30" t="s">
        <v>1</v>
      </c>
      <c r="M30" t="s">
        <v>7</v>
      </c>
      <c r="N30" t="s">
        <v>7</v>
      </c>
      <c r="O30" t="s">
        <v>7</v>
      </c>
      <c r="P30" t="s">
        <v>7</v>
      </c>
      <c r="Q30" t="s">
        <v>8</v>
      </c>
      <c r="R30" t="s">
        <v>8</v>
      </c>
      <c r="T30" t="s">
        <v>7</v>
      </c>
      <c r="U30" t="s">
        <v>7</v>
      </c>
      <c r="V30" t="s">
        <v>7</v>
      </c>
      <c r="W30" t="s">
        <v>8</v>
      </c>
      <c r="X30" t="s">
        <v>8</v>
      </c>
    </row>
    <row r="31" spans="1:37" x14ac:dyDescent="0.2">
      <c r="A31">
        <v>30</v>
      </c>
      <c r="B31" t="s">
        <v>80</v>
      </c>
      <c r="C31" t="s">
        <v>79</v>
      </c>
      <c r="D31" s="1">
        <v>33137</v>
      </c>
      <c r="E31" s="1">
        <v>45719</v>
      </c>
      <c r="F31">
        <f>INT((Recueil[[#This Row],[Date_de_recueil]]-Recueil[[#This Row],[DDN]])/365)</f>
        <v>34</v>
      </c>
      <c r="G31" t="s">
        <v>16</v>
      </c>
      <c r="H31" t="s">
        <v>65</v>
      </c>
      <c r="I31" t="s">
        <v>7</v>
      </c>
      <c r="J31" t="s">
        <v>7</v>
      </c>
      <c r="K31" t="s">
        <v>1</v>
      </c>
      <c r="M31" t="s">
        <v>7</v>
      </c>
      <c r="N31" t="s">
        <v>7</v>
      </c>
      <c r="O31" t="s">
        <v>7</v>
      </c>
      <c r="P31" t="s">
        <v>7</v>
      </c>
      <c r="Q31" t="s">
        <v>8</v>
      </c>
      <c r="R31" t="s">
        <v>8</v>
      </c>
      <c r="T31" t="s">
        <v>7</v>
      </c>
      <c r="U31" t="s">
        <v>7</v>
      </c>
      <c r="V31" t="s">
        <v>7</v>
      </c>
      <c r="W31" t="s">
        <v>8</v>
      </c>
      <c r="X31" t="s">
        <v>8</v>
      </c>
      <c r="AK31" s="3"/>
    </row>
    <row r="32" spans="1:37" x14ac:dyDescent="0.2">
      <c r="A32">
        <v>31</v>
      </c>
      <c r="B32" t="s">
        <v>81</v>
      </c>
      <c r="C32" t="s">
        <v>82</v>
      </c>
      <c r="D32" s="1">
        <v>28262</v>
      </c>
      <c r="E32" s="1">
        <v>45712</v>
      </c>
      <c r="F32">
        <f>INT((Recueil[[#This Row],[Date_de_recueil]]-Recueil[[#This Row],[DDN]])/365)</f>
        <v>47</v>
      </c>
      <c r="G32" t="s">
        <v>16</v>
      </c>
      <c r="H32" t="s">
        <v>65</v>
      </c>
      <c r="I32" t="s">
        <v>7</v>
      </c>
      <c r="J32" t="s">
        <v>7</v>
      </c>
      <c r="K32" t="s">
        <v>1</v>
      </c>
      <c r="M32" t="s">
        <v>7</v>
      </c>
      <c r="N32" t="s">
        <v>7</v>
      </c>
      <c r="O32" t="s">
        <v>8</v>
      </c>
      <c r="P32" t="s">
        <v>8</v>
      </c>
      <c r="Q32" t="s">
        <v>8</v>
      </c>
      <c r="R32" t="s">
        <v>8</v>
      </c>
      <c r="T32" t="s">
        <v>7</v>
      </c>
      <c r="U32" t="s">
        <v>7</v>
      </c>
      <c r="V32" t="s">
        <v>8</v>
      </c>
      <c r="W32" t="s">
        <v>8</v>
      </c>
      <c r="X32" t="s">
        <v>8</v>
      </c>
    </row>
    <row r="33" spans="1:33" x14ac:dyDescent="0.2">
      <c r="A33">
        <v>32</v>
      </c>
      <c r="B33" t="s">
        <v>83</v>
      </c>
      <c r="C33" t="s">
        <v>84</v>
      </c>
      <c r="D33" s="1">
        <v>34794</v>
      </c>
      <c r="E33" s="1">
        <v>45691</v>
      </c>
      <c r="F33">
        <v>29</v>
      </c>
      <c r="G33" t="s">
        <v>17</v>
      </c>
      <c r="H33" t="s">
        <v>65</v>
      </c>
      <c r="I33" t="s">
        <v>7</v>
      </c>
      <c r="J33" t="s">
        <v>3</v>
      </c>
      <c r="K33" t="s">
        <v>1</v>
      </c>
      <c r="M33" t="s">
        <v>3</v>
      </c>
      <c r="N33" t="s">
        <v>7</v>
      </c>
      <c r="O33" t="s">
        <v>7</v>
      </c>
      <c r="P33" t="s">
        <v>7</v>
      </c>
      <c r="Q33" t="s">
        <v>7</v>
      </c>
      <c r="R33" t="s">
        <v>8</v>
      </c>
      <c r="T33" t="s">
        <v>7</v>
      </c>
      <c r="U33" t="s">
        <v>7</v>
      </c>
      <c r="V33" t="s">
        <v>7</v>
      </c>
      <c r="W33" t="s">
        <v>8</v>
      </c>
      <c r="X33" t="s">
        <v>8</v>
      </c>
      <c r="AG33" s="3"/>
    </row>
    <row r="34" spans="1:33" x14ac:dyDescent="0.2">
      <c r="A34">
        <v>33</v>
      </c>
      <c r="B34" t="s">
        <v>85</v>
      </c>
      <c r="C34" t="s">
        <v>86</v>
      </c>
      <c r="D34" s="1">
        <v>30397</v>
      </c>
      <c r="E34" s="1">
        <v>45691</v>
      </c>
      <c r="F34">
        <f>INT((Recueil[[#This Row],[Date_de_recueil]]-Recueil[[#This Row],[DDN]])/365)</f>
        <v>41</v>
      </c>
      <c r="G34" t="s">
        <v>17</v>
      </c>
      <c r="H34" t="s">
        <v>63</v>
      </c>
      <c r="I34" t="s">
        <v>7</v>
      </c>
      <c r="J34" t="s">
        <v>8</v>
      </c>
      <c r="M34" t="s">
        <v>8</v>
      </c>
      <c r="N34" t="s">
        <v>7</v>
      </c>
      <c r="O34" t="s">
        <v>7</v>
      </c>
      <c r="P34" t="s">
        <v>7</v>
      </c>
      <c r="Q34" t="s">
        <v>7</v>
      </c>
      <c r="R34" t="s">
        <v>8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25</v>
      </c>
    </row>
    <row r="35" spans="1:33" x14ac:dyDescent="0.2">
      <c r="A35">
        <v>34</v>
      </c>
      <c r="B35" t="s">
        <v>85</v>
      </c>
      <c r="C35" t="s">
        <v>86</v>
      </c>
      <c r="D35" s="1">
        <v>30397</v>
      </c>
      <c r="E35" s="1">
        <v>45691</v>
      </c>
      <c r="F35">
        <f>INT((Recueil[[#This Row],[Date_de_recueil]]-Recueil[[#This Row],[DDN]])/365)</f>
        <v>41</v>
      </c>
      <c r="G35" t="s">
        <v>16</v>
      </c>
      <c r="H35" t="s">
        <v>63</v>
      </c>
      <c r="I35" t="s">
        <v>7</v>
      </c>
      <c r="J35" t="s">
        <v>8</v>
      </c>
      <c r="M35" t="s">
        <v>8</v>
      </c>
      <c r="N35" t="s">
        <v>7</v>
      </c>
      <c r="O35" t="s">
        <v>7</v>
      </c>
      <c r="P35" t="s">
        <v>7</v>
      </c>
      <c r="Q35" t="s">
        <v>7</v>
      </c>
      <c r="R35" t="s">
        <v>8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25</v>
      </c>
    </row>
    <row r="36" spans="1:33" x14ac:dyDescent="0.2">
      <c r="A36">
        <v>35</v>
      </c>
      <c r="B36" t="s">
        <v>87</v>
      </c>
      <c r="C36" t="s">
        <v>88</v>
      </c>
      <c r="D36" s="1">
        <v>27302</v>
      </c>
      <c r="E36" s="4">
        <v>45749</v>
      </c>
      <c r="F36">
        <v>50</v>
      </c>
      <c r="G36" t="s">
        <v>17</v>
      </c>
      <c r="H36" t="s">
        <v>65</v>
      </c>
      <c r="I36" t="s">
        <v>7</v>
      </c>
      <c r="J36" t="s">
        <v>7</v>
      </c>
      <c r="K36" t="s">
        <v>1</v>
      </c>
      <c r="M36" t="s">
        <v>7</v>
      </c>
      <c r="N36" t="s">
        <v>7</v>
      </c>
      <c r="O36" t="s">
        <v>8</v>
      </c>
      <c r="P36" t="s">
        <v>7</v>
      </c>
      <c r="Q36" t="s">
        <v>8</v>
      </c>
      <c r="R36" t="s">
        <v>8</v>
      </c>
      <c r="T36" t="s">
        <v>7</v>
      </c>
      <c r="U36" t="s">
        <v>8</v>
      </c>
      <c r="V36" t="s">
        <v>7</v>
      </c>
      <c r="W36" t="s">
        <v>8</v>
      </c>
      <c r="X36" t="s">
        <v>8</v>
      </c>
    </row>
    <row r="37" spans="1:33" x14ac:dyDescent="0.2">
      <c r="A37">
        <v>36</v>
      </c>
      <c r="B37" t="s">
        <v>89</v>
      </c>
      <c r="C37" t="s">
        <v>28</v>
      </c>
      <c r="D37" s="1">
        <v>26462</v>
      </c>
      <c r="E37" s="1">
        <v>45729</v>
      </c>
      <c r="F37">
        <f>INT((Recueil[[#This Row],[Date_de_recueil]]-Recueil[[#This Row],[DDN]])/365)</f>
        <v>52</v>
      </c>
      <c r="G37" t="s">
        <v>17</v>
      </c>
      <c r="H37" t="s">
        <v>63</v>
      </c>
      <c r="I37" t="s">
        <v>7</v>
      </c>
      <c r="J37" t="s">
        <v>7</v>
      </c>
      <c r="M37" t="s">
        <v>7</v>
      </c>
      <c r="N37" t="s">
        <v>8</v>
      </c>
      <c r="O37" t="s">
        <v>7</v>
      </c>
      <c r="P37" t="s">
        <v>7</v>
      </c>
      <c r="Q37" t="s">
        <v>8</v>
      </c>
      <c r="R37" t="s">
        <v>8</v>
      </c>
      <c r="T37" t="s">
        <v>8</v>
      </c>
      <c r="U37" t="s">
        <v>7</v>
      </c>
      <c r="V37" t="s">
        <v>7</v>
      </c>
      <c r="W37" t="s">
        <v>8</v>
      </c>
      <c r="X37" t="s">
        <v>8</v>
      </c>
    </row>
    <row r="38" spans="1:33" x14ac:dyDescent="0.2">
      <c r="A38">
        <v>37</v>
      </c>
      <c r="B38" t="s">
        <v>90</v>
      </c>
      <c r="C38" t="s">
        <v>91</v>
      </c>
      <c r="D38" s="1">
        <v>33438</v>
      </c>
      <c r="E38" s="1">
        <v>45740</v>
      </c>
      <c r="F38">
        <f>INT((Recueil[[#This Row],[Date_de_recueil]]-Recueil[[#This Row],[DDN]])/365)</f>
        <v>33</v>
      </c>
      <c r="G38" t="s">
        <v>16</v>
      </c>
      <c r="H38" t="s">
        <v>63</v>
      </c>
      <c r="I38" t="s">
        <v>7</v>
      </c>
      <c r="J38" t="s">
        <v>8</v>
      </c>
      <c r="M38" t="s">
        <v>8</v>
      </c>
      <c r="N38" t="s">
        <v>7</v>
      </c>
      <c r="O38" t="s">
        <v>7</v>
      </c>
      <c r="P38" t="s">
        <v>7</v>
      </c>
      <c r="Q38" t="s">
        <v>8</v>
      </c>
      <c r="R38" t="s">
        <v>8</v>
      </c>
      <c r="T38" t="s">
        <v>7</v>
      </c>
      <c r="U38" t="s">
        <v>7</v>
      </c>
      <c r="V38" t="s">
        <v>7</v>
      </c>
      <c r="W38" t="s">
        <v>7</v>
      </c>
      <c r="X38" t="s">
        <v>8</v>
      </c>
    </row>
    <row r="39" spans="1:33" x14ac:dyDescent="0.2">
      <c r="A39">
        <v>38</v>
      </c>
      <c r="B39" t="s">
        <v>92</v>
      </c>
      <c r="C39" t="s">
        <v>93</v>
      </c>
      <c r="D39" s="1">
        <v>25203</v>
      </c>
      <c r="E39" s="1">
        <v>45740</v>
      </c>
      <c r="F39">
        <f>INT((Recueil[[#This Row],[Date_de_recueil]]-Recueil[[#This Row],[DDN]])/365)</f>
        <v>56</v>
      </c>
      <c r="G39" t="s">
        <v>16</v>
      </c>
      <c r="H39" t="s">
        <v>63</v>
      </c>
      <c r="I39" t="s">
        <v>7</v>
      </c>
      <c r="J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8</v>
      </c>
      <c r="R39" t="s">
        <v>8</v>
      </c>
      <c r="T39" t="s">
        <v>7</v>
      </c>
      <c r="U39" t="s">
        <v>7</v>
      </c>
      <c r="V39" t="s">
        <v>7</v>
      </c>
      <c r="W39" t="s">
        <v>8</v>
      </c>
      <c r="X39" t="s">
        <v>8</v>
      </c>
    </row>
    <row r="40" spans="1:33" x14ac:dyDescent="0.2">
      <c r="A40">
        <v>39</v>
      </c>
      <c r="B40" t="s">
        <v>94</v>
      </c>
      <c r="C40" t="s">
        <v>95</v>
      </c>
      <c r="D40" s="1">
        <v>27375</v>
      </c>
      <c r="E40" s="1">
        <v>45740</v>
      </c>
      <c r="F40">
        <f>INT((Recueil[[#This Row],[Date_de_recueil]]-Recueil[[#This Row],[DDN]])/365)</f>
        <v>50</v>
      </c>
      <c r="G40" t="s">
        <v>17</v>
      </c>
      <c r="H40" t="s">
        <v>63</v>
      </c>
      <c r="I40" t="s">
        <v>7</v>
      </c>
      <c r="J40" t="s">
        <v>7</v>
      </c>
      <c r="K40" t="s">
        <v>0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8</v>
      </c>
      <c r="R40" t="s">
        <v>8</v>
      </c>
      <c r="T40" t="s">
        <v>7</v>
      </c>
      <c r="U40" t="s">
        <v>8</v>
      </c>
      <c r="V40" t="s">
        <v>7</v>
      </c>
      <c r="W40" t="s">
        <v>8</v>
      </c>
      <c r="X40" t="s">
        <v>8</v>
      </c>
    </row>
    <row r="41" spans="1:33" x14ac:dyDescent="0.2">
      <c r="A41">
        <v>40</v>
      </c>
      <c r="B41" t="s">
        <v>94</v>
      </c>
      <c r="C41" t="s">
        <v>95</v>
      </c>
      <c r="D41" s="1">
        <v>27375</v>
      </c>
      <c r="E41" s="1">
        <v>45740</v>
      </c>
      <c r="F41">
        <f>INT((Recueil[[#This Row],[Date_de_recueil]]-Recueil[[#This Row],[DDN]])/365)</f>
        <v>50</v>
      </c>
      <c r="G41" t="s">
        <v>16</v>
      </c>
      <c r="H41" t="s">
        <v>63</v>
      </c>
      <c r="I41" t="s">
        <v>7</v>
      </c>
      <c r="J41" t="s">
        <v>7</v>
      </c>
      <c r="K41" t="s">
        <v>0</v>
      </c>
      <c r="L41" t="s">
        <v>7</v>
      </c>
      <c r="M41" t="s">
        <v>7</v>
      </c>
      <c r="N41" t="s">
        <v>7</v>
      </c>
      <c r="O41" t="s">
        <v>8</v>
      </c>
      <c r="P41" t="s">
        <v>7</v>
      </c>
      <c r="Q41" t="s">
        <v>8</v>
      </c>
      <c r="R41" t="s">
        <v>7</v>
      </c>
      <c r="S41" t="s">
        <v>25</v>
      </c>
      <c r="T41" t="s">
        <v>7</v>
      </c>
      <c r="U41" t="s">
        <v>7</v>
      </c>
      <c r="V41" t="s">
        <v>7</v>
      </c>
      <c r="W41" t="s">
        <v>8</v>
      </c>
      <c r="X41" t="s">
        <v>8</v>
      </c>
    </row>
    <row r="42" spans="1:33" x14ac:dyDescent="0.2">
      <c r="A42">
        <v>41</v>
      </c>
      <c r="B42" t="s">
        <v>96</v>
      </c>
      <c r="C42" t="s">
        <v>97</v>
      </c>
      <c r="D42" s="1">
        <v>26759</v>
      </c>
      <c r="E42" s="1">
        <v>45735</v>
      </c>
      <c r="F42">
        <f>INT((Recueil[[#This Row],[Date_de_recueil]]-Recueil[[#This Row],[DDN]])/365)</f>
        <v>51</v>
      </c>
      <c r="G42" t="s">
        <v>17</v>
      </c>
      <c r="H42" t="s">
        <v>63</v>
      </c>
      <c r="I42" t="s">
        <v>7</v>
      </c>
      <c r="J42" t="s">
        <v>7</v>
      </c>
      <c r="K42" t="s">
        <v>0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8</v>
      </c>
      <c r="R42" t="s">
        <v>7</v>
      </c>
      <c r="S42" t="s">
        <v>25</v>
      </c>
      <c r="T42" t="s">
        <v>7</v>
      </c>
      <c r="U42" t="s">
        <v>7</v>
      </c>
      <c r="V42" t="s">
        <v>7</v>
      </c>
      <c r="W42" t="s">
        <v>8</v>
      </c>
      <c r="X42" t="s">
        <v>7</v>
      </c>
      <c r="Y42" t="s">
        <v>25</v>
      </c>
    </row>
    <row r="43" spans="1:33" x14ac:dyDescent="0.2">
      <c r="A43">
        <v>42</v>
      </c>
      <c r="B43" t="s">
        <v>98</v>
      </c>
      <c r="C43" t="s">
        <v>23</v>
      </c>
      <c r="D43" s="1">
        <v>27134</v>
      </c>
      <c r="E43" s="1">
        <v>45744</v>
      </c>
      <c r="F43">
        <f>INT((Recueil[[#This Row],[Date_de_recueil]]-Recueil[[#This Row],[DDN]])/365)</f>
        <v>50</v>
      </c>
      <c r="G43" t="s">
        <v>16</v>
      </c>
      <c r="H43" t="s">
        <v>65</v>
      </c>
      <c r="I43" t="s">
        <v>7</v>
      </c>
      <c r="J43" t="s">
        <v>8</v>
      </c>
      <c r="K43" t="s">
        <v>1</v>
      </c>
      <c r="M43" t="s">
        <v>8</v>
      </c>
      <c r="N43" t="s">
        <v>8</v>
      </c>
      <c r="O43" t="s">
        <v>8</v>
      </c>
      <c r="P43" t="s">
        <v>8</v>
      </c>
      <c r="Q43" t="s">
        <v>8</v>
      </c>
      <c r="R43" t="s">
        <v>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</row>
    <row r="44" spans="1:33" x14ac:dyDescent="0.2">
      <c r="A44">
        <v>43</v>
      </c>
      <c r="B44" t="s">
        <v>99</v>
      </c>
      <c r="C44" t="s">
        <v>100</v>
      </c>
      <c r="D44" s="1">
        <v>24986</v>
      </c>
      <c r="E44" s="1">
        <v>45754</v>
      </c>
      <c r="F44">
        <f>INT((Recueil[[#This Row],[Date_de_recueil]]-Recueil[[#This Row],[DDN]])/365)</f>
        <v>56</v>
      </c>
      <c r="G44" t="s">
        <v>16</v>
      </c>
      <c r="H44" t="s">
        <v>65</v>
      </c>
      <c r="I44" t="s">
        <v>7</v>
      </c>
      <c r="J44" t="s">
        <v>7</v>
      </c>
      <c r="M44" t="s">
        <v>7</v>
      </c>
      <c r="N44" t="s">
        <v>8</v>
      </c>
      <c r="O44" t="s">
        <v>8</v>
      </c>
      <c r="P44" t="s">
        <v>8</v>
      </c>
      <c r="Q44" t="s">
        <v>8</v>
      </c>
      <c r="R44" t="s">
        <v>8</v>
      </c>
      <c r="T44" t="s">
        <v>13</v>
      </c>
      <c r="U44" t="s">
        <v>13</v>
      </c>
      <c r="V44" t="s">
        <v>13</v>
      </c>
      <c r="W44" t="s">
        <v>13</v>
      </c>
      <c r="X44" t="s">
        <v>13</v>
      </c>
    </row>
    <row r="45" spans="1:33" x14ac:dyDescent="0.2">
      <c r="A45">
        <v>44</v>
      </c>
      <c r="B45" t="s">
        <v>101</v>
      </c>
      <c r="C45" t="s">
        <v>102</v>
      </c>
      <c r="D45" s="1">
        <v>17869</v>
      </c>
      <c r="E45" s="1">
        <v>45762</v>
      </c>
      <c r="F45">
        <f>INT((Recueil[[#This Row],[Date_de_recueil]]-Recueil[[#This Row],[DDN]])/365)</f>
        <v>76</v>
      </c>
      <c r="G45" t="s">
        <v>16</v>
      </c>
      <c r="H45" t="s">
        <v>63</v>
      </c>
      <c r="I45" t="s">
        <v>7</v>
      </c>
      <c r="J45" t="s">
        <v>7</v>
      </c>
      <c r="M45" t="s">
        <v>7</v>
      </c>
      <c r="N45" t="s">
        <v>7</v>
      </c>
      <c r="O45" t="s">
        <v>8</v>
      </c>
      <c r="P45" t="s">
        <v>8</v>
      </c>
      <c r="Q45" t="s">
        <v>8</v>
      </c>
      <c r="R45" t="s">
        <v>8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</row>
    <row r="46" spans="1:33" x14ac:dyDescent="0.2">
      <c r="A46">
        <v>45</v>
      </c>
      <c r="B46" t="s">
        <v>103</v>
      </c>
      <c r="C46" t="s">
        <v>104</v>
      </c>
      <c r="D46" s="1">
        <v>30264</v>
      </c>
      <c r="E46" s="1">
        <v>45775</v>
      </c>
      <c r="F46">
        <f>INT((Recueil[[#This Row],[Date_de_recueil]]-Recueil[[#This Row],[DDN]])/365)</f>
        <v>42</v>
      </c>
      <c r="I46" t="s">
        <v>7</v>
      </c>
      <c r="J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8</v>
      </c>
      <c r="T46" t="s">
        <v>7</v>
      </c>
      <c r="U46" t="s">
        <v>7</v>
      </c>
      <c r="V46" t="s">
        <v>8</v>
      </c>
      <c r="W46" t="s">
        <v>8</v>
      </c>
      <c r="X46" t="s">
        <v>8</v>
      </c>
    </row>
    <row r="47" spans="1:33" x14ac:dyDescent="0.2">
      <c r="A47">
        <v>46</v>
      </c>
      <c r="B47" t="s">
        <v>105</v>
      </c>
      <c r="C47" t="s">
        <v>106</v>
      </c>
      <c r="D47" s="1">
        <v>25221</v>
      </c>
      <c r="E47" s="1">
        <v>45796</v>
      </c>
      <c r="F47">
        <f>INT((Recueil[[#This Row],[Date_de_recueil]]-Recueil[[#This Row],[DDN]])/365)</f>
        <v>56</v>
      </c>
      <c r="I47" t="s">
        <v>7</v>
      </c>
      <c r="J47" t="s">
        <v>7</v>
      </c>
      <c r="M47" t="s">
        <v>7</v>
      </c>
      <c r="N47" t="s">
        <v>7</v>
      </c>
      <c r="O47" t="s">
        <v>7</v>
      </c>
      <c r="P47" t="s">
        <v>8</v>
      </c>
      <c r="Q47" t="s">
        <v>7</v>
      </c>
      <c r="R47" t="s">
        <v>8</v>
      </c>
      <c r="T47" t="s">
        <v>7</v>
      </c>
      <c r="U47" t="s">
        <v>8</v>
      </c>
      <c r="V47" t="s">
        <v>7</v>
      </c>
      <c r="W47" t="s">
        <v>7</v>
      </c>
      <c r="X47" t="s">
        <v>8</v>
      </c>
    </row>
    <row r="48" spans="1:33" x14ac:dyDescent="0.2">
      <c r="A48">
        <v>47</v>
      </c>
      <c r="B48" t="s">
        <v>107</v>
      </c>
      <c r="C48" t="s">
        <v>108</v>
      </c>
      <c r="D48" s="1">
        <v>35938</v>
      </c>
      <c r="E48" s="1">
        <v>45796</v>
      </c>
      <c r="F48">
        <f>INT((Recueil[[#This Row],[Date_de_recueil]]-Recueil[[#This Row],[DDN]])/365)</f>
        <v>27</v>
      </c>
      <c r="I48" t="s">
        <v>8</v>
      </c>
      <c r="J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8</v>
      </c>
      <c r="R48" t="s">
        <v>8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</row>
    <row r="49" spans="1:25" x14ac:dyDescent="0.2">
      <c r="A49">
        <v>48</v>
      </c>
      <c r="B49" t="s">
        <v>109</v>
      </c>
      <c r="C49" t="s">
        <v>110</v>
      </c>
      <c r="E49" s="1">
        <v>45796</v>
      </c>
      <c r="F49">
        <f>INT((Recueil[[#This Row],[Date_de_recueil]]-Recueil[[#This Row],[DDN]])/365)</f>
        <v>125</v>
      </c>
      <c r="I49" t="s">
        <v>3</v>
      </c>
      <c r="J49" t="s">
        <v>3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8</v>
      </c>
      <c r="T49" t="s">
        <v>7</v>
      </c>
      <c r="U49" t="s">
        <v>7</v>
      </c>
      <c r="V49" t="s">
        <v>7</v>
      </c>
      <c r="W49" t="s">
        <v>7</v>
      </c>
      <c r="X49" t="s">
        <v>8</v>
      </c>
    </row>
    <row r="50" spans="1:25" x14ac:dyDescent="0.2">
      <c r="A50">
        <v>49</v>
      </c>
      <c r="B50" t="s">
        <v>111</v>
      </c>
      <c r="C50" t="s">
        <v>77</v>
      </c>
      <c r="D50" s="1">
        <v>19374</v>
      </c>
      <c r="E50" s="1">
        <v>45784</v>
      </c>
      <c r="F50">
        <f>INT((Recueil[[#This Row],[Date_de_recueil]]-Recueil[[#This Row],[DDN]])/365)</f>
        <v>72</v>
      </c>
      <c r="G50" t="s">
        <v>17</v>
      </c>
      <c r="I50" t="s">
        <v>8</v>
      </c>
      <c r="J50" t="s">
        <v>8</v>
      </c>
      <c r="M50" t="s">
        <v>8</v>
      </c>
      <c r="N50" t="s">
        <v>8</v>
      </c>
      <c r="O50" t="s">
        <v>8</v>
      </c>
      <c r="P50" t="s">
        <v>8</v>
      </c>
      <c r="Q50" t="s">
        <v>8</v>
      </c>
      <c r="R50" t="s">
        <v>8</v>
      </c>
      <c r="T50" t="s">
        <v>8</v>
      </c>
      <c r="U50" t="s">
        <v>8</v>
      </c>
      <c r="V50" t="s">
        <v>7</v>
      </c>
      <c r="W50" t="s">
        <v>8</v>
      </c>
      <c r="X50" t="s">
        <v>8</v>
      </c>
    </row>
    <row r="51" spans="1:25" x14ac:dyDescent="0.2">
      <c r="A51">
        <v>50</v>
      </c>
      <c r="B51" t="s">
        <v>111</v>
      </c>
      <c r="C51" t="s">
        <v>77</v>
      </c>
      <c r="D51" s="1">
        <v>19374</v>
      </c>
      <c r="E51" s="1">
        <v>45784</v>
      </c>
      <c r="F51">
        <f>INT((Recueil[[#This Row],[Date_de_recueil]]-Recueil[[#This Row],[DDN]])/365)</f>
        <v>72</v>
      </c>
      <c r="G51" t="s">
        <v>16</v>
      </c>
      <c r="I51" t="s">
        <v>8</v>
      </c>
      <c r="J51" t="s">
        <v>8</v>
      </c>
      <c r="M51" t="s">
        <v>8</v>
      </c>
      <c r="N51" t="s">
        <v>8</v>
      </c>
      <c r="O51" t="s">
        <v>8</v>
      </c>
      <c r="P51" t="s">
        <v>8</v>
      </c>
      <c r="Q51" t="s">
        <v>8</v>
      </c>
      <c r="R51" t="s">
        <v>8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</row>
    <row r="52" spans="1:25" x14ac:dyDescent="0.2">
      <c r="A52">
        <v>51</v>
      </c>
      <c r="B52" t="s">
        <v>112</v>
      </c>
      <c r="C52" t="s">
        <v>113</v>
      </c>
      <c r="D52" s="1">
        <v>23968</v>
      </c>
      <c r="E52" s="1">
        <v>45838</v>
      </c>
      <c r="F52">
        <f>INT((Recueil[[#This Row],[Date_de_recueil]]-Recueil[[#This Row],[DDN]])/365)</f>
        <v>59</v>
      </c>
      <c r="I52" t="s">
        <v>3</v>
      </c>
      <c r="J52" t="s">
        <v>3</v>
      </c>
      <c r="M52" t="s">
        <v>3</v>
      </c>
      <c r="N52" t="s">
        <v>7</v>
      </c>
      <c r="O52" t="s">
        <v>7</v>
      </c>
      <c r="P52" t="s">
        <v>8</v>
      </c>
      <c r="Q52" t="s">
        <v>7</v>
      </c>
      <c r="R52" t="s">
        <v>8</v>
      </c>
      <c r="T52" t="s">
        <v>7</v>
      </c>
      <c r="U52" t="s">
        <v>8</v>
      </c>
      <c r="V52" t="s">
        <v>8</v>
      </c>
      <c r="W52" t="s">
        <v>7</v>
      </c>
      <c r="X52" t="s">
        <v>8</v>
      </c>
    </row>
    <row r="53" spans="1:25" x14ac:dyDescent="0.2">
      <c r="A53">
        <v>52</v>
      </c>
      <c r="B53" t="s">
        <v>114</v>
      </c>
      <c r="C53" t="s">
        <v>115</v>
      </c>
      <c r="D53" s="1">
        <v>24826</v>
      </c>
      <c r="E53" s="1">
        <v>45838</v>
      </c>
      <c r="F53">
        <f>INT((Recueil[[#This Row],[Date_de_recueil]]-Recueil[[#This Row],[DDN]])/365)</f>
        <v>57</v>
      </c>
      <c r="I53" t="s">
        <v>7</v>
      </c>
      <c r="J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8</v>
      </c>
      <c r="T53" t="s">
        <v>7</v>
      </c>
      <c r="U53" t="s">
        <v>7</v>
      </c>
      <c r="V53" t="s">
        <v>7</v>
      </c>
      <c r="W53" t="s">
        <v>7</v>
      </c>
      <c r="X53" t="s">
        <v>8</v>
      </c>
    </row>
    <row r="54" spans="1:25" x14ac:dyDescent="0.2">
      <c r="A54">
        <v>53</v>
      </c>
      <c r="B54" t="s">
        <v>116</v>
      </c>
      <c r="C54" t="s">
        <v>117</v>
      </c>
      <c r="D54" s="1">
        <v>27395</v>
      </c>
      <c r="E54" s="1">
        <v>45810</v>
      </c>
      <c r="F54">
        <f>INT((Recueil[[#This Row],[Date_de_recueil]]-Recueil[[#This Row],[DDN]])/365)</f>
        <v>50</v>
      </c>
      <c r="I54" t="s">
        <v>8</v>
      </c>
      <c r="J54" t="s">
        <v>8</v>
      </c>
      <c r="M54" t="s">
        <v>8</v>
      </c>
      <c r="N54" t="s">
        <v>8</v>
      </c>
      <c r="O54" t="s">
        <v>8</v>
      </c>
      <c r="P54" t="s">
        <v>8</v>
      </c>
      <c r="Q54" t="s">
        <v>8</v>
      </c>
      <c r="R54" t="s">
        <v>8</v>
      </c>
      <c r="T54" t="s">
        <v>8</v>
      </c>
      <c r="U54" t="s">
        <v>7</v>
      </c>
      <c r="V54" t="s">
        <v>8</v>
      </c>
      <c r="W54" t="s">
        <v>8</v>
      </c>
      <c r="X54" t="s">
        <v>8</v>
      </c>
    </row>
    <row r="55" spans="1:25" x14ac:dyDescent="0.2">
      <c r="A55">
        <v>54</v>
      </c>
      <c r="B55" t="s">
        <v>118</v>
      </c>
      <c r="C55" t="s">
        <v>119</v>
      </c>
      <c r="D55" s="1">
        <v>23919</v>
      </c>
      <c r="E55" s="1">
        <v>45775</v>
      </c>
      <c r="F55">
        <f>INT((Recueil[[#This Row],[Date_de_recueil]]-Recueil[[#This Row],[DDN]])/365)</f>
        <v>59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  <c r="S55" t="s">
        <v>25</v>
      </c>
      <c r="T55" t="s">
        <v>8</v>
      </c>
      <c r="U55" t="s">
        <v>7</v>
      </c>
      <c r="V55" t="s">
        <v>8</v>
      </c>
      <c r="W55" t="s">
        <v>8</v>
      </c>
      <c r="X55" t="s">
        <v>7</v>
      </c>
      <c r="Y55" t="s">
        <v>25</v>
      </c>
    </row>
  </sheetData>
  <phoneticPr fontId="2" type="noConversion"/>
  <dataValidations count="2">
    <dataValidation type="date" allowBlank="1" showInputMessage="1" showErrorMessage="1" sqref="D2:D55" xr:uid="{00000000-0002-0000-0000-000000000000}">
      <formula1>1</formula1>
      <formula2>44197</formula2>
    </dataValidation>
    <dataValidation type="date" allowBlank="1" showInputMessage="1" showErrorMessage="1" sqref="E2:E1048576" xr:uid="{00000000-0002-0000-0000-000001000000}">
      <formula1>1</formula1>
      <formula2>47484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3000000}">
          <x14:formula1>
            <xm:f>Feuil1!$R$9:$R$11</xm:f>
          </x14:formula1>
          <xm:sqref>M2:M55 L56:L1048576 I2:J1048576</xm:sqref>
        </x14:dataValidation>
        <x14:dataValidation type="list" allowBlank="1" showInputMessage="1" showErrorMessage="1" xr:uid="{00000000-0002-0000-0000-000004000000}">
          <x14:formula1>
            <xm:f>Feuil1!$R$3:$R$4</xm:f>
          </x14:formula1>
          <xm:sqref>K2:K55</xm:sqref>
        </x14:dataValidation>
        <x14:dataValidation type="list" allowBlank="1" showInputMessage="1" showErrorMessage="1" xr:uid="{00000000-0002-0000-0000-000005000000}">
          <x14:formula1>
            <xm:f>Feuil1!$R$9:$R$10</xm:f>
          </x14:formula1>
          <xm:sqref>K56:K1048576 L2:L55</xm:sqref>
        </x14:dataValidation>
        <x14:dataValidation type="list" allowBlank="1" showInputMessage="1" showErrorMessage="1" xr:uid="{00000000-0002-0000-0000-000006000000}">
          <x14:formula1>
            <xm:f>Feuil1!$S$5:$S$7</xm:f>
          </x14:formula1>
          <xm:sqref>S56:W1048576 T2:X55 M56:Q1048576 N2:R55</xm:sqref>
        </x14:dataValidation>
        <x14:dataValidation type="list" allowBlank="1" showInputMessage="1" showErrorMessage="1" xr:uid="{00000000-0002-0000-0000-000007000000}">
          <x14:formula1>
            <xm:f>Feuil1!$U$5:$U$7</xm:f>
          </x14:formula1>
          <xm:sqref>R56:R1048576 S2:S55 X56:X1048576 Y2:Y55</xm:sqref>
        </x14:dataValidation>
        <x14:dataValidation type="list" allowBlank="1" showInputMessage="1" showErrorMessage="1" xr:uid="{00000000-0002-0000-0000-000008000000}">
          <x14:formula1>
            <xm:f>Feuil1!$O$13:$O$20</xm:f>
          </x14:formula1>
          <xm:sqref>H2:H55</xm:sqref>
        </x14:dataValidation>
        <x14:dataValidation type="list" allowBlank="1" showInputMessage="1" showErrorMessage="1" xr:uid="{00000000-0002-0000-0000-000002000000}">
          <x14:formula1>
            <xm:f>Feuil1!$R$7:$R$8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O3:U20"/>
  <sheetViews>
    <sheetView workbookViewId="0">
      <selection activeCell="L19" sqref="L19"/>
    </sheetView>
  </sheetViews>
  <sheetFormatPr baseColWidth="10" defaultColWidth="9.1640625" defaultRowHeight="15" x14ac:dyDescent="0.2"/>
  <cols>
    <col min="21" max="21" width="15" customWidth="1"/>
  </cols>
  <sheetData>
    <row r="3" spans="15:21" x14ac:dyDescent="0.2">
      <c r="R3" t="s">
        <v>0</v>
      </c>
    </row>
    <row r="4" spans="15:21" x14ac:dyDescent="0.2">
      <c r="R4" t="s">
        <v>1</v>
      </c>
    </row>
    <row r="5" spans="15:21" x14ac:dyDescent="0.2">
      <c r="R5" t="s">
        <v>2</v>
      </c>
      <c r="S5" t="s">
        <v>7</v>
      </c>
      <c r="U5" t="s">
        <v>24</v>
      </c>
    </row>
    <row r="6" spans="15:21" x14ac:dyDescent="0.2">
      <c r="R6" t="s">
        <v>3</v>
      </c>
      <c r="S6" t="s">
        <v>8</v>
      </c>
      <c r="U6" t="s">
        <v>25</v>
      </c>
    </row>
    <row r="7" spans="15:21" x14ac:dyDescent="0.2">
      <c r="R7" t="s">
        <v>17</v>
      </c>
      <c r="S7" t="s">
        <v>13</v>
      </c>
      <c r="U7" t="s">
        <v>26</v>
      </c>
    </row>
    <row r="8" spans="15:21" x14ac:dyDescent="0.2">
      <c r="R8" t="s">
        <v>16</v>
      </c>
    </row>
    <row r="9" spans="15:21" x14ac:dyDescent="0.2">
      <c r="R9" t="s">
        <v>7</v>
      </c>
    </row>
    <row r="10" spans="15:21" x14ac:dyDescent="0.2">
      <c r="R10" t="s">
        <v>8</v>
      </c>
    </row>
    <row r="11" spans="15:21" x14ac:dyDescent="0.2">
      <c r="R11" t="s">
        <v>3</v>
      </c>
    </row>
    <row r="13" spans="15:21" x14ac:dyDescent="0.2">
      <c r="O13" t="s">
        <v>58</v>
      </c>
    </row>
    <row r="14" spans="15:21" x14ac:dyDescent="0.2">
      <c r="O14" t="s">
        <v>59</v>
      </c>
    </row>
    <row r="15" spans="15:21" x14ac:dyDescent="0.2">
      <c r="O15" t="s">
        <v>60</v>
      </c>
    </row>
    <row r="16" spans="15:21" x14ac:dyDescent="0.2">
      <c r="O16" t="s">
        <v>61</v>
      </c>
    </row>
    <row r="17" spans="15:15" x14ac:dyDescent="0.2">
      <c r="O17" t="s">
        <v>62</v>
      </c>
    </row>
    <row r="18" spans="15:15" x14ac:dyDescent="0.2">
      <c r="O18" t="s">
        <v>63</v>
      </c>
    </row>
    <row r="19" spans="15:15" x14ac:dyDescent="0.2">
      <c r="O19" t="s">
        <v>64</v>
      </c>
    </row>
    <row r="20" spans="15:15" x14ac:dyDescent="0.2">
      <c r="O2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Recueil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BOURGOIN Antoine</dc:creator>
  <cp:lastModifiedBy>Thomas Husson</cp:lastModifiedBy>
  <dcterms:created xsi:type="dcterms:W3CDTF">2015-06-05T18:19:34Z</dcterms:created>
  <dcterms:modified xsi:type="dcterms:W3CDTF">2026-05-01T16:18:58Z</dcterms:modified>
</cp:coreProperties>
</file>