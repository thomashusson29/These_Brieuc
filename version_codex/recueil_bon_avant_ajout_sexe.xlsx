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33646\iCloudDrive\TRAVAIL BRIEUC\ULNT\"/>
    </mc:Choice>
  </mc:AlternateContent>
  <xr:revisionPtr revIDLastSave="0" documentId="13_ncr:1_{7862E006-B622-4D49-BD7F-E597D0008AA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cueil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1" i="2" l="1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29" i="2"/>
  <c r="E11" i="2" l="1"/>
  <c r="E2" i="2" l="1"/>
  <c r="E3" i="2"/>
  <c r="E4" i="2"/>
  <c r="E5" i="2"/>
  <c r="E6" i="2"/>
  <c r="E7" i="2"/>
  <c r="E8" i="2"/>
  <c r="E9" i="2"/>
  <c r="E10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31" i="2"/>
  <c r="E32" i="2"/>
  <c r="E34" i="2"/>
  <c r="E35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</calcChain>
</file>

<file path=xl/sharedStrings.xml><?xml version="1.0" encoding="utf-8"?>
<sst xmlns="http://schemas.openxmlformats.org/spreadsheetml/2006/main" count="1236" uniqueCount="161">
  <si>
    <t>oui</t>
  </si>
  <si>
    <t>non</t>
  </si>
  <si>
    <t>NA</t>
  </si>
  <si>
    <t>Douteux</t>
  </si>
  <si>
    <t>Nom</t>
  </si>
  <si>
    <t>Prénom</t>
  </si>
  <si>
    <t>DDN</t>
  </si>
  <si>
    <t>Age</t>
  </si>
  <si>
    <t>Coté</t>
  </si>
  <si>
    <t>Positif</t>
  </si>
  <si>
    <t>Negatif</t>
  </si>
  <si>
    <t>Date de recueil</t>
  </si>
  <si>
    <t>Examen Clinique</t>
  </si>
  <si>
    <t>IRM</t>
  </si>
  <si>
    <t>Infiltrations</t>
  </si>
  <si>
    <t>Gold Standard</t>
  </si>
  <si>
    <t xml:space="preserve">U1 E1 </t>
  </si>
  <si>
    <t>U1 E2</t>
  </si>
  <si>
    <t>U2a E1</t>
  </si>
  <si>
    <t xml:space="preserve">U2b E1 </t>
  </si>
  <si>
    <t>U3 E1</t>
  </si>
  <si>
    <t>U3 E2</t>
  </si>
  <si>
    <t>U2a E2</t>
  </si>
  <si>
    <t>U2b E2</t>
  </si>
  <si>
    <t>Resultat Inf</t>
  </si>
  <si>
    <t>NT</t>
  </si>
  <si>
    <t>Le goff</t>
  </si>
  <si>
    <t>gwenola</t>
  </si>
  <si>
    <t>G</t>
  </si>
  <si>
    <t>D</t>
  </si>
  <si>
    <t>SALAUN</t>
  </si>
  <si>
    <t>virginie</t>
  </si>
  <si>
    <t>OGIER</t>
  </si>
  <si>
    <t>Fabienne</t>
  </si>
  <si>
    <t>BOUIN</t>
  </si>
  <si>
    <t>Pascale</t>
  </si>
  <si>
    <t>paraspinal</t>
  </si>
  <si>
    <t>susclavier</t>
  </si>
  <si>
    <t>préSCM</t>
  </si>
  <si>
    <t>OLLIVIER</t>
  </si>
  <si>
    <t>Sandrine</t>
  </si>
  <si>
    <t>HOUSSIN</t>
  </si>
  <si>
    <t>Melinda</t>
  </si>
  <si>
    <t>GUERN RIOU</t>
  </si>
  <si>
    <t>Laurence</t>
  </si>
  <si>
    <t>MASSET</t>
  </si>
  <si>
    <t>Cedric</t>
  </si>
  <si>
    <t>LAUNEY</t>
  </si>
  <si>
    <t>Floriane</t>
  </si>
  <si>
    <t>LEFORT</t>
  </si>
  <si>
    <t>Erick</t>
  </si>
  <si>
    <t>NEVEU</t>
  </si>
  <si>
    <t>Marie Therese</t>
  </si>
  <si>
    <t>COLLIOT</t>
  </si>
  <si>
    <t>Marie Françoise</t>
  </si>
  <si>
    <t xml:space="preserve">FAUCHEUX </t>
  </si>
  <si>
    <t>MICKAEL</t>
  </si>
  <si>
    <t>PETAUT</t>
  </si>
  <si>
    <t>Marc</t>
  </si>
  <si>
    <t>FOUCHER</t>
  </si>
  <si>
    <t>Coralie</t>
  </si>
  <si>
    <t xml:space="preserve">LE GRAS </t>
  </si>
  <si>
    <t>Valerie</t>
  </si>
  <si>
    <t xml:space="preserve">BURBAN </t>
  </si>
  <si>
    <t>Marie Armelle</t>
  </si>
  <si>
    <t>EUZENOT</t>
  </si>
  <si>
    <t>Katia</t>
  </si>
  <si>
    <t>DUVAL</t>
  </si>
  <si>
    <t>Jeannine</t>
  </si>
  <si>
    <t>Niveau</t>
  </si>
  <si>
    <t>C1</t>
  </si>
  <si>
    <t>C2</t>
  </si>
  <si>
    <t>C3</t>
  </si>
  <si>
    <t>C4</t>
  </si>
  <si>
    <t>C5</t>
  </si>
  <si>
    <t>C6</t>
  </si>
  <si>
    <t>C7</t>
  </si>
  <si>
    <t>C8</t>
  </si>
  <si>
    <t>Common</t>
  </si>
  <si>
    <t>Bruno</t>
  </si>
  <si>
    <t>KALYN</t>
  </si>
  <si>
    <t>Anthony</t>
  </si>
  <si>
    <t xml:space="preserve">DEAN </t>
  </si>
  <si>
    <t>Jean Malo</t>
  </si>
  <si>
    <t>TAJ</t>
  </si>
  <si>
    <t>KHADIJA</t>
  </si>
  <si>
    <t>VALET</t>
  </si>
  <si>
    <t>Danielle</t>
  </si>
  <si>
    <t>ISIDORE</t>
  </si>
  <si>
    <t>Martine</t>
  </si>
  <si>
    <t>MARTIN</t>
  </si>
  <si>
    <t>Nicolas</t>
  </si>
  <si>
    <t xml:space="preserve">MARTIN </t>
  </si>
  <si>
    <t>MARTINS</t>
  </si>
  <si>
    <t>Frederic</t>
  </si>
  <si>
    <t>MTIMET</t>
  </si>
  <si>
    <t xml:space="preserve">Laura </t>
  </si>
  <si>
    <t>GURY</t>
  </si>
  <si>
    <t>Mathieu</t>
  </si>
  <si>
    <t xml:space="preserve">BRIAND </t>
  </si>
  <si>
    <t>anne</t>
  </si>
  <si>
    <t>GERMON</t>
  </si>
  <si>
    <t>RETIF</t>
  </si>
  <si>
    <t>Elodie</t>
  </si>
  <si>
    <t>ARRAS</t>
  </si>
  <si>
    <t>Drissia</t>
  </si>
  <si>
    <t>VASILE</t>
  </si>
  <si>
    <t>Ionel</t>
  </si>
  <si>
    <t>BUZARE</t>
  </si>
  <si>
    <t>Christelle</t>
  </si>
  <si>
    <t>POIRIER</t>
  </si>
  <si>
    <t>CLOLUS</t>
  </si>
  <si>
    <t>Laurent</t>
  </si>
  <si>
    <t>AUSSANT</t>
  </si>
  <si>
    <t>Daniele</t>
  </si>
  <si>
    <t>LE LAUSQUE</t>
  </si>
  <si>
    <t>Angelique</t>
  </si>
  <si>
    <t>BUSNEL</t>
  </si>
  <si>
    <t>Herve</t>
  </si>
  <si>
    <t xml:space="preserve">MACE </t>
  </si>
  <si>
    <t>Canelle</t>
  </si>
  <si>
    <t>MAGOMADOVA</t>
  </si>
  <si>
    <t>Baneta</t>
  </si>
  <si>
    <t>BIENASSIS</t>
  </si>
  <si>
    <t>CHESNAIS</t>
  </si>
  <si>
    <t>FEREY</t>
  </si>
  <si>
    <t>Emmanuel</t>
  </si>
  <si>
    <t>DESCHAMPS</t>
  </si>
  <si>
    <t>Emeline</t>
  </si>
  <si>
    <t>BOREY</t>
  </si>
  <si>
    <t>Christine</t>
  </si>
  <si>
    <t>BULEON</t>
  </si>
  <si>
    <t>Annie</t>
  </si>
  <si>
    <t>LELANDAIS</t>
  </si>
  <si>
    <t>Mickael</t>
  </si>
  <si>
    <t>GUEGAN</t>
  </si>
  <si>
    <t>Morgane</t>
  </si>
  <si>
    <t>BIARD</t>
  </si>
  <si>
    <t>Gisele</t>
  </si>
  <si>
    <t>KERBRAT</t>
  </si>
  <si>
    <t>Nelly</t>
  </si>
  <si>
    <t>laurence</t>
  </si>
  <si>
    <t>ALBERINI</t>
  </si>
  <si>
    <t>VEILLAUX</t>
  </si>
  <si>
    <t>Claudia</t>
  </si>
  <si>
    <t>DERAY</t>
  </si>
  <si>
    <t>ODILE</t>
  </si>
  <si>
    <t>AZZOUZI</t>
  </si>
  <si>
    <t>Hicham</t>
  </si>
  <si>
    <t>MESLE</t>
  </si>
  <si>
    <t>DELALANDE</t>
  </si>
  <si>
    <t>Denis</t>
  </si>
  <si>
    <t>LE CORVAISIER</t>
  </si>
  <si>
    <t>Thibault</t>
  </si>
  <si>
    <t>MAUDET</t>
  </si>
  <si>
    <t>Romuald</t>
  </si>
  <si>
    <t xml:space="preserve">MONNIER </t>
  </si>
  <si>
    <t>Marie</t>
  </si>
  <si>
    <t>BMI</t>
  </si>
  <si>
    <t>Tabac</t>
  </si>
  <si>
    <t>Françoise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</si>
</sst>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2" borderId="0" xfId="0" applyFill="1"/>
    <xf numFmtId="0" fontId="1" fillId="0" borderId="0" xfId="0" applyFont="1"/>
    <xf numFmtId="16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Recueil" displayName="Recueil" ref="A1:V82" totalsRowShown="0">
  <autoFilter ref="A1:V82" xr:uid="{00000000-0009-0000-0100-000003000000}"/>
  <tableColumns count="22">
    <tableColumn id="1" xr3:uid="{00000000-0010-0000-0000-000001000000}" name="Nom"/>
    <tableColumn id="2" xr3:uid="{00000000-0010-0000-0000-000002000000}" name="Prénom"/>
    <tableColumn id="3" xr3:uid="{00000000-0010-0000-0000-000003000000}" name="DDN"/>
    <tableColumn id="13" xr3:uid="{00000000-0010-0000-0000-00000D000000}" name="Date de recueil"/>
    <tableColumn id="4" xr3:uid="{00000000-0010-0000-0000-000004000000}" name="Age" dataDxfId="0">
      <calculatedColumnFormula>INT((Recueil[[#This Row],[Date de recueil]]-Recueil[[#This Row],[DDN]])/365)</calculatedColumnFormula>
    </tableColumn>
    <tableColumn id="5" xr3:uid="{00000000-0010-0000-0000-000005000000}" name="Coté"/>
    <tableColumn id="14" xr3:uid="{00000000-0010-0000-0000-00000E000000}" name="Niveau"/>
    <tableColumn id="6" xr3:uid="{00000000-0010-0000-0000-000006000000}" name="Examen Clinique"/>
    <tableColumn id="7" xr3:uid="{00000000-0010-0000-0000-000007000000}" name="IRM"/>
    <tableColumn id="8" xr3:uid="{00000000-0010-0000-0000-000008000000}" name="Infiltrations"/>
    <tableColumn id="27" xr3:uid="{00000000-0010-0000-0000-00001B000000}" name="Resultat Inf"/>
    <tableColumn id="9" xr3:uid="{00000000-0010-0000-0000-000009000000}" name="Gold Standard"/>
    <tableColumn id="10" xr3:uid="{00000000-0010-0000-0000-00000A000000}" name="U1 E1 "/>
    <tableColumn id="18" xr3:uid="{00000000-0010-0000-0000-000012000000}" name="U2a E1"/>
    <tableColumn id="17" xr3:uid="{00000000-0010-0000-0000-000011000000}" name="U2b E1 "/>
    <tableColumn id="16" xr3:uid="{00000000-0010-0000-0000-000010000000}" name="U3 E1"/>
    <tableColumn id="20" xr3:uid="{00000000-0010-0000-0000-000014000000}" name="U1 E2"/>
    <tableColumn id="21" xr3:uid="{00000000-0010-0000-0000-000015000000}" name="U2a E2"/>
    <tableColumn id="22" xr3:uid="{00000000-0010-0000-0000-000016000000}" name="U2b E2"/>
    <tableColumn id="23" xr3:uid="{00000000-0010-0000-0000-000017000000}" name="U3 E2"/>
    <tableColumn id="11" xr3:uid="{9FA2D676-2A26-4C23-9D4A-E96152E5699F}" name="BMI"/>
    <tableColumn id="12" xr3:uid="{01B75B2A-0D9D-46B1-89B1-D11953B4EB2F}" name="Taba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2"/>
  <sheetViews>
    <sheetView tabSelected="1" topLeftCell="B43" zoomScale="54" zoomScaleNormal="80" workbookViewId="0">
      <selection activeCell="K64" sqref="K64"/>
    </sheetView>
  </sheetViews>
  <sheetFormatPr baseColWidth="10" defaultRowHeight="14.5" x14ac:dyDescent="0.35"/>
  <cols>
    <col min="1" max="1" width="13.26953125" customWidth="1"/>
    <col min="2" max="2" width="18" customWidth="1"/>
    <col min="3" max="3" width="13.81640625" customWidth="1"/>
    <col min="4" max="4" width="17.54296875" customWidth="1"/>
    <col min="5" max="6" width="11.54296875" customWidth="1"/>
    <col min="7" max="7" width="15.1796875" customWidth="1"/>
    <col min="8" max="8" width="11.54296875" customWidth="1"/>
    <col min="9" max="10" width="16.453125" customWidth="1"/>
    <col min="11" max="11" width="11.54296875" customWidth="1"/>
    <col min="12" max="16" width="12.54296875" customWidth="1"/>
  </cols>
  <sheetData>
    <row r="1" spans="1:22" x14ac:dyDescent="0.35">
      <c r="A1" t="s">
        <v>4</v>
      </c>
      <c r="B1" t="s">
        <v>5</v>
      </c>
      <c r="C1" t="s">
        <v>6</v>
      </c>
      <c r="D1" t="s">
        <v>11</v>
      </c>
      <c r="E1" t="s">
        <v>7</v>
      </c>
      <c r="F1" t="s">
        <v>8</v>
      </c>
      <c r="G1" t="s">
        <v>69</v>
      </c>
      <c r="H1" t="s">
        <v>12</v>
      </c>
      <c r="I1" t="s">
        <v>13</v>
      </c>
      <c r="J1" t="s">
        <v>14</v>
      </c>
      <c r="K1" t="s">
        <v>24</v>
      </c>
      <c r="L1" t="s">
        <v>15</v>
      </c>
      <c r="M1" s="2" t="s">
        <v>16</v>
      </c>
      <c r="N1" s="2" t="s">
        <v>18</v>
      </c>
      <c r="O1" s="2" t="s">
        <v>19</v>
      </c>
      <c r="P1" s="2" t="s">
        <v>20</v>
      </c>
      <c r="Q1" t="s">
        <v>17</v>
      </c>
      <c r="R1" t="s">
        <v>22</v>
      </c>
      <c r="S1" t="s">
        <v>23</v>
      </c>
      <c r="T1" t="s">
        <v>21</v>
      </c>
      <c r="U1" t="s">
        <v>158</v>
      </c>
      <c r="V1" t="s">
        <v>159</v>
      </c>
    </row>
    <row r="2" spans="1:22" x14ac:dyDescent="0.35">
      <c r="A2" t="s">
        <v>26</v>
      </c>
      <c r="B2" t="s">
        <v>27</v>
      </c>
      <c r="C2" s="1">
        <v>28100</v>
      </c>
      <c r="D2" s="1">
        <v>45572</v>
      </c>
      <c r="E2">
        <f>INT((Recueil[[#This Row],[Date de recueil]]-Recueil[[#This Row],[DDN]])/365)</f>
        <v>47</v>
      </c>
      <c r="F2" t="s">
        <v>28</v>
      </c>
      <c r="G2" t="s">
        <v>74</v>
      </c>
      <c r="H2" t="s">
        <v>9</v>
      </c>
      <c r="I2" t="s">
        <v>9</v>
      </c>
      <c r="J2" t="s">
        <v>1</v>
      </c>
      <c r="L2" t="s">
        <v>9</v>
      </c>
      <c r="M2" t="s">
        <v>9</v>
      </c>
      <c r="N2" t="s">
        <v>9</v>
      </c>
      <c r="O2" t="s">
        <v>9</v>
      </c>
      <c r="P2" t="s">
        <v>9</v>
      </c>
      <c r="Q2" t="s">
        <v>9</v>
      </c>
      <c r="R2" t="s">
        <v>9</v>
      </c>
      <c r="S2" t="s">
        <v>9</v>
      </c>
      <c r="T2" t="s">
        <v>9</v>
      </c>
      <c r="U2">
        <v>30</v>
      </c>
      <c r="V2" t="s">
        <v>0</v>
      </c>
    </row>
    <row r="3" spans="1:22" x14ac:dyDescent="0.35">
      <c r="A3" t="s">
        <v>30</v>
      </c>
      <c r="B3" t="s">
        <v>31</v>
      </c>
      <c r="C3" s="1">
        <v>28397</v>
      </c>
      <c r="D3" s="1">
        <v>45453</v>
      </c>
      <c r="E3">
        <f>INT((Recueil[[#This Row],[Date de recueil]]-Recueil[[#This Row],[DDN]])/365)</f>
        <v>46</v>
      </c>
      <c r="F3" t="s">
        <v>28</v>
      </c>
      <c r="G3" t="s">
        <v>75</v>
      </c>
      <c r="H3" t="s">
        <v>9</v>
      </c>
      <c r="I3" t="s">
        <v>10</v>
      </c>
      <c r="J3" t="s">
        <v>1</v>
      </c>
      <c r="L3" t="s">
        <v>10</v>
      </c>
      <c r="M3" t="s">
        <v>9</v>
      </c>
      <c r="N3" t="s">
        <v>9</v>
      </c>
      <c r="O3" t="s">
        <v>10</v>
      </c>
      <c r="P3" t="s">
        <v>9</v>
      </c>
      <c r="Q3" t="s">
        <v>9</v>
      </c>
      <c r="R3" t="s">
        <v>9</v>
      </c>
      <c r="S3" t="s">
        <v>9</v>
      </c>
      <c r="T3" t="s">
        <v>9</v>
      </c>
      <c r="U3">
        <v>24</v>
      </c>
      <c r="V3" t="s">
        <v>0</v>
      </c>
    </row>
    <row r="4" spans="1:22" x14ac:dyDescent="0.35">
      <c r="A4" t="s">
        <v>32</v>
      </c>
      <c r="B4" t="s">
        <v>33</v>
      </c>
      <c r="C4" s="1">
        <v>26778</v>
      </c>
      <c r="D4" s="1">
        <v>45572</v>
      </c>
      <c r="E4">
        <f>INT((Recueil[[#This Row],[Date de recueil]]-Recueil[[#This Row],[DDN]])/365)</f>
        <v>51</v>
      </c>
      <c r="F4" t="s">
        <v>29</v>
      </c>
      <c r="G4" t="s">
        <v>74</v>
      </c>
      <c r="H4" t="s">
        <v>9</v>
      </c>
      <c r="I4" t="s">
        <v>9</v>
      </c>
      <c r="J4" t="s">
        <v>0</v>
      </c>
      <c r="K4" t="s">
        <v>10</v>
      </c>
      <c r="L4" t="s">
        <v>9</v>
      </c>
      <c r="M4" t="s">
        <v>9</v>
      </c>
      <c r="N4" t="s">
        <v>9</v>
      </c>
      <c r="O4" t="s">
        <v>9</v>
      </c>
      <c r="P4" t="s">
        <v>9</v>
      </c>
      <c r="Q4" t="s">
        <v>9</v>
      </c>
      <c r="R4" t="s">
        <v>9</v>
      </c>
      <c r="S4" t="s">
        <v>9</v>
      </c>
      <c r="T4" t="s">
        <v>9</v>
      </c>
      <c r="U4">
        <v>25</v>
      </c>
      <c r="V4" t="s">
        <v>1</v>
      </c>
    </row>
    <row r="5" spans="1:22" x14ac:dyDescent="0.35">
      <c r="A5" t="s">
        <v>34</v>
      </c>
      <c r="B5" t="s">
        <v>35</v>
      </c>
      <c r="C5" s="1">
        <v>21806</v>
      </c>
      <c r="D5" s="1">
        <v>45453</v>
      </c>
      <c r="E5">
        <f>INT((Recueil[[#This Row],[Date de recueil]]-Recueil[[#This Row],[DDN]])/365)</f>
        <v>64</v>
      </c>
      <c r="F5" t="s">
        <v>29</v>
      </c>
      <c r="G5" t="s">
        <v>75</v>
      </c>
      <c r="H5" t="s">
        <v>9</v>
      </c>
      <c r="I5" t="s">
        <v>9</v>
      </c>
      <c r="J5" t="s">
        <v>0</v>
      </c>
      <c r="K5" t="s">
        <v>9</v>
      </c>
      <c r="L5" t="s">
        <v>9</v>
      </c>
      <c r="M5" t="s">
        <v>9</v>
      </c>
      <c r="N5" t="s">
        <v>9</v>
      </c>
      <c r="O5" t="s">
        <v>9</v>
      </c>
      <c r="P5" t="s">
        <v>9</v>
      </c>
      <c r="Q5" t="s">
        <v>9</v>
      </c>
      <c r="R5" t="s">
        <v>9</v>
      </c>
      <c r="S5" t="s">
        <v>9</v>
      </c>
      <c r="T5" t="s">
        <v>9</v>
      </c>
      <c r="U5">
        <v>20</v>
      </c>
      <c r="V5" t="s">
        <v>1</v>
      </c>
    </row>
    <row r="6" spans="1:22" x14ac:dyDescent="0.35">
      <c r="A6" t="s">
        <v>39</v>
      </c>
      <c r="B6" t="s">
        <v>40</v>
      </c>
      <c r="C6" s="1">
        <v>27971</v>
      </c>
      <c r="D6" s="1">
        <v>45600</v>
      </c>
      <c r="E6">
        <f>INT((Recueil[[#This Row],[Date de recueil]]-Recueil[[#This Row],[DDN]])/365)</f>
        <v>48</v>
      </c>
      <c r="F6" t="s">
        <v>28</v>
      </c>
      <c r="G6" t="s">
        <v>76</v>
      </c>
      <c r="H6" t="s">
        <v>10</v>
      </c>
      <c r="I6" t="s">
        <v>9</v>
      </c>
      <c r="J6" t="s">
        <v>0</v>
      </c>
      <c r="K6" t="s">
        <v>9</v>
      </c>
      <c r="L6" t="s">
        <v>9</v>
      </c>
      <c r="M6" t="s">
        <v>9</v>
      </c>
      <c r="N6" t="s">
        <v>9</v>
      </c>
      <c r="O6" t="s">
        <v>9</v>
      </c>
      <c r="P6" t="s">
        <v>10</v>
      </c>
      <c r="Q6" t="s">
        <v>9</v>
      </c>
      <c r="R6" t="s">
        <v>9</v>
      </c>
      <c r="S6" t="s">
        <v>9</v>
      </c>
      <c r="T6" t="s">
        <v>9</v>
      </c>
      <c r="U6">
        <v>30</v>
      </c>
      <c r="V6" t="s">
        <v>1</v>
      </c>
    </row>
    <row r="7" spans="1:22" x14ac:dyDescent="0.35">
      <c r="A7" t="s">
        <v>41</v>
      </c>
      <c r="B7" t="s">
        <v>42</v>
      </c>
      <c r="C7" s="1">
        <v>31411</v>
      </c>
      <c r="D7" s="1">
        <v>45579</v>
      </c>
      <c r="E7">
        <f>INT((Recueil[[#This Row],[Date de recueil]]-Recueil[[#This Row],[DDN]])/365)</f>
        <v>38</v>
      </c>
      <c r="F7" t="s">
        <v>28</v>
      </c>
      <c r="G7" t="s">
        <v>76</v>
      </c>
      <c r="H7" t="s">
        <v>9</v>
      </c>
      <c r="I7" t="s">
        <v>9</v>
      </c>
      <c r="L7" t="s">
        <v>9</v>
      </c>
      <c r="M7" t="s">
        <v>9</v>
      </c>
      <c r="N7" t="s">
        <v>10</v>
      </c>
      <c r="O7" t="s">
        <v>10</v>
      </c>
      <c r="P7" t="s">
        <v>10</v>
      </c>
      <c r="Q7" t="s">
        <v>9</v>
      </c>
      <c r="R7" t="s">
        <v>9</v>
      </c>
      <c r="S7" t="s">
        <v>9</v>
      </c>
      <c r="T7" t="s">
        <v>9</v>
      </c>
      <c r="U7">
        <v>22</v>
      </c>
      <c r="V7" t="s">
        <v>1</v>
      </c>
    </row>
    <row r="8" spans="1:22" x14ac:dyDescent="0.35">
      <c r="A8" t="s">
        <v>43</v>
      </c>
      <c r="B8" t="s">
        <v>44</v>
      </c>
      <c r="C8" s="1">
        <v>25837</v>
      </c>
      <c r="D8" s="1">
        <v>45572</v>
      </c>
      <c r="E8">
        <f>INT((Recueil[[#This Row],[Date de recueil]]-Recueil[[#This Row],[DDN]])/365)</f>
        <v>54</v>
      </c>
      <c r="F8" t="s">
        <v>29</v>
      </c>
      <c r="G8" t="s">
        <v>76</v>
      </c>
      <c r="H8" t="s">
        <v>9</v>
      </c>
      <c r="I8" t="s">
        <v>9</v>
      </c>
      <c r="J8" t="s">
        <v>0</v>
      </c>
      <c r="L8" t="s">
        <v>9</v>
      </c>
      <c r="M8" t="s">
        <v>9</v>
      </c>
      <c r="N8" t="s">
        <v>9</v>
      </c>
      <c r="O8" t="s">
        <v>9</v>
      </c>
      <c r="P8" t="s">
        <v>9</v>
      </c>
      <c r="Q8" t="s">
        <v>10</v>
      </c>
      <c r="R8" t="s">
        <v>9</v>
      </c>
      <c r="S8" t="s">
        <v>9</v>
      </c>
      <c r="T8" t="s">
        <v>10</v>
      </c>
      <c r="U8">
        <v>30</v>
      </c>
      <c r="V8" t="s">
        <v>0</v>
      </c>
    </row>
    <row r="9" spans="1:22" x14ac:dyDescent="0.35">
      <c r="A9" t="s">
        <v>43</v>
      </c>
      <c r="B9" t="s">
        <v>44</v>
      </c>
      <c r="C9" s="1">
        <v>25837</v>
      </c>
      <c r="D9" s="1">
        <v>45572</v>
      </c>
      <c r="E9">
        <f>INT((Recueil[[#This Row],[Date de recueil]]-Recueil[[#This Row],[DDN]])/365)</f>
        <v>54</v>
      </c>
      <c r="F9" t="s">
        <v>28</v>
      </c>
      <c r="G9" t="s">
        <v>76</v>
      </c>
      <c r="H9" t="s">
        <v>10</v>
      </c>
      <c r="I9" t="s">
        <v>10</v>
      </c>
      <c r="J9" t="s">
        <v>0</v>
      </c>
      <c r="L9" t="s">
        <v>10</v>
      </c>
      <c r="M9" t="s">
        <v>10</v>
      </c>
      <c r="N9" t="s">
        <v>10</v>
      </c>
      <c r="O9" t="s">
        <v>9</v>
      </c>
      <c r="P9" t="s">
        <v>10</v>
      </c>
      <c r="Q9" t="s">
        <v>9</v>
      </c>
      <c r="R9" t="s">
        <v>10</v>
      </c>
      <c r="S9" t="s">
        <v>9</v>
      </c>
      <c r="T9" t="s">
        <v>10</v>
      </c>
      <c r="U9">
        <v>30</v>
      </c>
      <c r="V9" t="s">
        <v>0</v>
      </c>
    </row>
    <row r="10" spans="1:22" x14ac:dyDescent="0.35">
      <c r="A10" t="s">
        <v>45</v>
      </c>
      <c r="B10" t="s">
        <v>46</v>
      </c>
      <c r="C10" s="1">
        <v>28160</v>
      </c>
      <c r="D10" s="1">
        <v>45513</v>
      </c>
      <c r="E10">
        <f>INT((Recueil[[#This Row],[Date de recueil]]-Recueil[[#This Row],[DDN]])/365)</f>
        <v>47</v>
      </c>
      <c r="F10" t="s">
        <v>29</v>
      </c>
      <c r="G10" t="s">
        <v>76</v>
      </c>
      <c r="H10" t="s">
        <v>9</v>
      </c>
      <c r="I10" t="s">
        <v>9</v>
      </c>
      <c r="J10" t="s">
        <v>0</v>
      </c>
      <c r="K10" t="s">
        <v>10</v>
      </c>
      <c r="L10" t="s">
        <v>9</v>
      </c>
      <c r="M10" t="s">
        <v>10</v>
      </c>
      <c r="N10" t="s">
        <v>9</v>
      </c>
      <c r="O10" t="s">
        <v>9</v>
      </c>
      <c r="P10" t="s">
        <v>10</v>
      </c>
      <c r="Q10" t="s">
        <v>9</v>
      </c>
      <c r="R10" t="s">
        <v>9</v>
      </c>
      <c r="S10" t="s">
        <v>9</v>
      </c>
      <c r="T10" t="s">
        <v>9</v>
      </c>
      <c r="U10">
        <v>23</v>
      </c>
      <c r="V10" t="s">
        <v>0</v>
      </c>
    </row>
    <row r="11" spans="1:22" x14ac:dyDescent="0.35">
      <c r="A11" t="s">
        <v>45</v>
      </c>
      <c r="B11" t="s">
        <v>46</v>
      </c>
      <c r="C11" s="1">
        <v>28160</v>
      </c>
      <c r="D11" s="1">
        <v>45513</v>
      </c>
      <c r="E11">
        <f>INT((Recueil[[#This Row],[Date de recueil]]-Recueil[[#This Row],[DDN]])/365)</f>
        <v>47</v>
      </c>
      <c r="F11" t="s">
        <v>28</v>
      </c>
      <c r="G11" t="s">
        <v>76</v>
      </c>
      <c r="H11" t="s">
        <v>9</v>
      </c>
      <c r="I11" t="s">
        <v>9</v>
      </c>
      <c r="J11" t="s">
        <v>0</v>
      </c>
      <c r="K11" t="s">
        <v>10</v>
      </c>
      <c r="L11" t="s">
        <v>9</v>
      </c>
      <c r="M11" t="s">
        <v>10</v>
      </c>
      <c r="N11" t="s">
        <v>9</v>
      </c>
      <c r="O11" t="s">
        <v>9</v>
      </c>
      <c r="P11" t="s">
        <v>10</v>
      </c>
      <c r="Q11" t="s">
        <v>9</v>
      </c>
      <c r="R11" t="s">
        <v>9</v>
      </c>
      <c r="S11" t="s">
        <v>9</v>
      </c>
      <c r="T11" t="s">
        <v>9</v>
      </c>
      <c r="U11">
        <v>23</v>
      </c>
      <c r="V11" t="s">
        <v>0</v>
      </c>
    </row>
    <row r="12" spans="1:22" x14ac:dyDescent="0.35">
      <c r="A12" t="s">
        <v>47</v>
      </c>
      <c r="B12" t="s">
        <v>48</v>
      </c>
      <c r="C12" s="1">
        <v>32405</v>
      </c>
      <c r="D12" s="1">
        <v>45508</v>
      </c>
      <c r="E12">
        <f>INT((Recueil[[#This Row],[Date de recueil]]-Recueil[[#This Row],[DDN]])/365)</f>
        <v>35</v>
      </c>
      <c r="F12" t="s">
        <v>29</v>
      </c>
      <c r="G12" t="s">
        <v>74</v>
      </c>
      <c r="H12" t="s">
        <v>9</v>
      </c>
      <c r="I12" t="s">
        <v>9</v>
      </c>
      <c r="J12" t="s">
        <v>1</v>
      </c>
      <c r="L12" t="s">
        <v>9</v>
      </c>
      <c r="M12" t="s">
        <v>9</v>
      </c>
      <c r="N12" t="s">
        <v>9</v>
      </c>
      <c r="O12" t="s">
        <v>9</v>
      </c>
      <c r="P12" t="s">
        <v>10</v>
      </c>
      <c r="Q12" t="s">
        <v>9</v>
      </c>
      <c r="R12" t="s">
        <v>10</v>
      </c>
      <c r="S12" t="s">
        <v>9</v>
      </c>
      <c r="T12" t="s">
        <v>10</v>
      </c>
      <c r="U12">
        <v>26</v>
      </c>
      <c r="V12" t="s">
        <v>1</v>
      </c>
    </row>
    <row r="13" spans="1:22" x14ac:dyDescent="0.35">
      <c r="A13" t="s">
        <v>49</v>
      </c>
      <c r="B13" t="s">
        <v>50</v>
      </c>
      <c r="C13" s="1">
        <v>24766</v>
      </c>
      <c r="D13" s="1">
        <v>45460</v>
      </c>
      <c r="E13">
        <f>INT((Recueil[[#This Row],[Date de recueil]]-Recueil[[#This Row],[DDN]])/365)</f>
        <v>56</v>
      </c>
      <c r="F13" t="s">
        <v>29</v>
      </c>
      <c r="G13" t="s">
        <v>75</v>
      </c>
      <c r="H13" t="s">
        <v>9</v>
      </c>
      <c r="I13" t="s">
        <v>9</v>
      </c>
      <c r="J13" t="s">
        <v>0</v>
      </c>
      <c r="K13" t="s">
        <v>9</v>
      </c>
      <c r="L13" t="s">
        <v>9</v>
      </c>
      <c r="M13" t="s">
        <v>9</v>
      </c>
      <c r="N13" t="s">
        <v>9</v>
      </c>
      <c r="O13" t="s">
        <v>9</v>
      </c>
      <c r="P13" t="s">
        <v>9</v>
      </c>
      <c r="Q13" t="s">
        <v>9</v>
      </c>
      <c r="R13" t="s">
        <v>9</v>
      </c>
      <c r="S13" t="s">
        <v>10</v>
      </c>
      <c r="T13" t="s">
        <v>9</v>
      </c>
      <c r="U13">
        <v>35</v>
      </c>
      <c r="V13" t="s">
        <v>1</v>
      </c>
    </row>
    <row r="14" spans="1:22" x14ac:dyDescent="0.35">
      <c r="A14" t="s">
        <v>51</v>
      </c>
      <c r="B14" t="s">
        <v>52</v>
      </c>
      <c r="C14" s="1">
        <v>21945</v>
      </c>
      <c r="D14" s="1">
        <v>45460</v>
      </c>
      <c r="E14">
        <f>INT((Recueil[[#This Row],[Date de recueil]]-Recueil[[#This Row],[DDN]])/365)</f>
        <v>64</v>
      </c>
      <c r="F14" t="s">
        <v>28</v>
      </c>
      <c r="G14" t="s">
        <v>75</v>
      </c>
      <c r="H14" t="s">
        <v>9</v>
      </c>
      <c r="I14" t="s">
        <v>9</v>
      </c>
      <c r="J14" t="s">
        <v>0</v>
      </c>
      <c r="K14" t="s">
        <v>9</v>
      </c>
      <c r="L14" t="s">
        <v>9</v>
      </c>
      <c r="M14" t="s">
        <v>10</v>
      </c>
      <c r="N14" t="s">
        <v>9</v>
      </c>
      <c r="O14" t="s">
        <v>9</v>
      </c>
      <c r="P14" t="s">
        <v>9</v>
      </c>
      <c r="Q14" t="s">
        <v>9</v>
      </c>
      <c r="R14" t="s">
        <v>9</v>
      </c>
      <c r="S14" t="s">
        <v>10</v>
      </c>
      <c r="T14" t="s">
        <v>9</v>
      </c>
      <c r="U14">
        <v>26</v>
      </c>
      <c r="V14" t="s">
        <v>1</v>
      </c>
    </row>
    <row r="15" spans="1:22" x14ac:dyDescent="0.35">
      <c r="A15" t="s">
        <v>53</v>
      </c>
      <c r="B15" t="s">
        <v>54</v>
      </c>
      <c r="C15" s="1">
        <v>21903</v>
      </c>
      <c r="D15" s="1">
        <v>45628</v>
      </c>
      <c r="E15">
        <f>INT((Recueil[[#This Row],[Date de recueil]]-Recueil[[#This Row],[DDN]])/365)</f>
        <v>65</v>
      </c>
      <c r="F15" t="s">
        <v>28</v>
      </c>
      <c r="G15" t="s">
        <v>76</v>
      </c>
      <c r="H15" t="s">
        <v>9</v>
      </c>
      <c r="I15" t="s">
        <v>10</v>
      </c>
      <c r="J15" t="s">
        <v>1</v>
      </c>
      <c r="L15" t="s">
        <v>10</v>
      </c>
      <c r="M15" t="s">
        <v>9</v>
      </c>
      <c r="N15" t="s">
        <v>9</v>
      </c>
      <c r="O15" t="s">
        <v>10</v>
      </c>
      <c r="P15" t="s">
        <v>10</v>
      </c>
      <c r="Q15" t="s">
        <v>9</v>
      </c>
      <c r="R15" t="s">
        <v>10</v>
      </c>
      <c r="S15" t="s">
        <v>10</v>
      </c>
      <c r="T15" t="s">
        <v>10</v>
      </c>
      <c r="U15">
        <v>27</v>
      </c>
      <c r="V15" t="s">
        <v>1</v>
      </c>
    </row>
    <row r="16" spans="1:22" x14ac:dyDescent="0.35">
      <c r="A16" t="s">
        <v>55</v>
      </c>
      <c r="B16" t="s">
        <v>56</v>
      </c>
      <c r="C16" s="1">
        <v>30027</v>
      </c>
      <c r="D16" s="1">
        <v>45583</v>
      </c>
      <c r="E16">
        <f>INT((Recueil[[#This Row],[Date de recueil]]-Recueil[[#This Row],[DDN]])/365)</f>
        <v>42</v>
      </c>
      <c r="F16" t="s">
        <v>28</v>
      </c>
      <c r="G16" t="s">
        <v>76</v>
      </c>
      <c r="H16" t="s">
        <v>9</v>
      </c>
      <c r="I16" t="s">
        <v>9</v>
      </c>
      <c r="J16" t="s">
        <v>0</v>
      </c>
      <c r="K16" t="s">
        <v>9</v>
      </c>
      <c r="L16" t="s">
        <v>9</v>
      </c>
      <c r="M16" t="s">
        <v>9</v>
      </c>
      <c r="N16" t="s">
        <v>10</v>
      </c>
      <c r="O16" t="s">
        <v>9</v>
      </c>
      <c r="P16" t="s">
        <v>10</v>
      </c>
      <c r="Q16" t="s">
        <v>9</v>
      </c>
      <c r="R16" t="s">
        <v>10</v>
      </c>
      <c r="S16" t="s">
        <v>9</v>
      </c>
      <c r="T16" t="s">
        <v>10</v>
      </c>
      <c r="U16">
        <v>25</v>
      </c>
      <c r="V16" t="s">
        <v>0</v>
      </c>
    </row>
    <row r="17" spans="1:32" x14ac:dyDescent="0.35">
      <c r="A17" t="s">
        <v>57</v>
      </c>
      <c r="B17" t="s">
        <v>58</v>
      </c>
      <c r="C17" s="1">
        <v>24889</v>
      </c>
      <c r="D17" s="1">
        <v>45460</v>
      </c>
      <c r="E17">
        <f>INT((Recueil[[#This Row],[Date de recueil]]-Recueil[[#This Row],[DDN]])/365)</f>
        <v>56</v>
      </c>
      <c r="F17" t="s">
        <v>28</v>
      </c>
      <c r="G17" t="s">
        <v>76</v>
      </c>
      <c r="H17" t="s">
        <v>9</v>
      </c>
      <c r="I17" t="s">
        <v>9</v>
      </c>
      <c r="J17" t="s">
        <v>0</v>
      </c>
      <c r="K17" t="s">
        <v>9</v>
      </c>
      <c r="L17" t="s">
        <v>9</v>
      </c>
      <c r="M17" t="s">
        <v>9</v>
      </c>
      <c r="N17" t="s">
        <v>9</v>
      </c>
      <c r="O17" t="s">
        <v>9</v>
      </c>
      <c r="P17" t="s">
        <v>10</v>
      </c>
      <c r="Q17" t="s">
        <v>9</v>
      </c>
      <c r="R17" t="s">
        <v>9</v>
      </c>
      <c r="S17" t="s">
        <v>9</v>
      </c>
      <c r="T17" t="s">
        <v>9</v>
      </c>
      <c r="U17">
        <v>22</v>
      </c>
      <c r="V17" t="s">
        <v>1</v>
      </c>
    </row>
    <row r="18" spans="1:32" x14ac:dyDescent="0.35">
      <c r="A18" t="s">
        <v>59</v>
      </c>
      <c r="B18" t="s">
        <v>60</v>
      </c>
      <c r="C18" s="1">
        <v>32076</v>
      </c>
      <c r="D18" s="1">
        <v>45439</v>
      </c>
      <c r="E18">
        <f>INT((Recueil[[#This Row],[Date de recueil]]-Recueil[[#This Row],[DDN]])/365)</f>
        <v>36</v>
      </c>
      <c r="F18" t="s">
        <v>29</v>
      </c>
      <c r="G18" t="s">
        <v>75</v>
      </c>
      <c r="H18" t="s">
        <v>9</v>
      </c>
      <c r="I18" t="s">
        <v>10</v>
      </c>
      <c r="J18" t="s">
        <v>1</v>
      </c>
      <c r="L18" t="s">
        <v>10</v>
      </c>
      <c r="M18" t="s">
        <v>9</v>
      </c>
      <c r="N18" t="s">
        <v>9</v>
      </c>
      <c r="O18" t="s">
        <v>9</v>
      </c>
      <c r="P18" t="s">
        <v>9</v>
      </c>
      <c r="Q18" t="s">
        <v>9</v>
      </c>
      <c r="R18" t="s">
        <v>9</v>
      </c>
      <c r="S18" t="s">
        <v>9</v>
      </c>
      <c r="T18" t="s">
        <v>9</v>
      </c>
      <c r="U18">
        <v>26</v>
      </c>
      <c r="V18" t="s">
        <v>0</v>
      </c>
    </row>
    <row r="19" spans="1:32" x14ac:dyDescent="0.35">
      <c r="A19" t="s">
        <v>61</v>
      </c>
      <c r="B19" t="s">
        <v>62</v>
      </c>
      <c r="C19" s="1">
        <v>24117</v>
      </c>
      <c r="D19" s="1">
        <v>45439</v>
      </c>
      <c r="E19">
        <f>INT((Recueil[[#This Row],[Date de recueil]]-Recueil[[#This Row],[DDN]])/365)</f>
        <v>58</v>
      </c>
      <c r="F19" t="s">
        <v>28</v>
      </c>
      <c r="G19" t="s">
        <v>76</v>
      </c>
      <c r="H19" t="s">
        <v>9</v>
      </c>
      <c r="I19" t="s">
        <v>9</v>
      </c>
      <c r="J19" t="s">
        <v>0</v>
      </c>
      <c r="K19" t="s">
        <v>9</v>
      </c>
      <c r="L19" t="s">
        <v>9</v>
      </c>
      <c r="M19" t="s">
        <v>9</v>
      </c>
      <c r="N19" t="s">
        <v>9</v>
      </c>
      <c r="O19" t="s">
        <v>9</v>
      </c>
      <c r="P19" t="s">
        <v>9</v>
      </c>
      <c r="Q19" t="s">
        <v>9</v>
      </c>
      <c r="R19" t="s">
        <v>9</v>
      </c>
      <c r="S19" t="s">
        <v>9</v>
      </c>
      <c r="T19" t="s">
        <v>9</v>
      </c>
      <c r="U19">
        <v>30</v>
      </c>
      <c r="V19" t="s">
        <v>1</v>
      </c>
    </row>
    <row r="20" spans="1:32" x14ac:dyDescent="0.35">
      <c r="A20" t="s">
        <v>63</v>
      </c>
      <c r="B20" t="s">
        <v>64</v>
      </c>
      <c r="C20" s="1">
        <v>24616</v>
      </c>
      <c r="D20" s="1">
        <v>45436</v>
      </c>
      <c r="E20">
        <f>INT((Recueil[[#This Row],[Date de recueil]]-Recueil[[#This Row],[DDN]])/365)</f>
        <v>57</v>
      </c>
      <c r="F20" t="s">
        <v>28</v>
      </c>
      <c r="G20" t="s">
        <v>76</v>
      </c>
      <c r="H20" t="s">
        <v>9</v>
      </c>
      <c r="I20" t="s">
        <v>9</v>
      </c>
      <c r="J20" t="s">
        <v>1</v>
      </c>
      <c r="L20" t="s">
        <v>9</v>
      </c>
      <c r="M20" t="s">
        <v>9</v>
      </c>
      <c r="N20" t="s">
        <v>9</v>
      </c>
      <c r="O20" t="s">
        <v>9</v>
      </c>
      <c r="P20" t="s">
        <v>10</v>
      </c>
      <c r="Q20" t="s">
        <v>9</v>
      </c>
      <c r="R20" t="s">
        <v>9</v>
      </c>
      <c r="S20" t="s">
        <v>9</v>
      </c>
      <c r="T20" t="s">
        <v>10</v>
      </c>
      <c r="U20">
        <v>32</v>
      </c>
      <c r="V20" t="s">
        <v>1</v>
      </c>
    </row>
    <row r="21" spans="1:32" x14ac:dyDescent="0.35">
      <c r="A21" t="s">
        <v>65</v>
      </c>
      <c r="B21" t="s">
        <v>66</v>
      </c>
      <c r="C21" s="1">
        <v>26928</v>
      </c>
      <c r="D21" s="1">
        <v>45677</v>
      </c>
      <c r="E21">
        <f>INT((Recueil[[#This Row],[Date de recueil]]-Recueil[[#This Row],[DDN]])/365)</f>
        <v>51</v>
      </c>
      <c r="F21" t="s">
        <v>29</v>
      </c>
      <c r="G21" t="s">
        <v>76</v>
      </c>
      <c r="H21" t="s">
        <v>9</v>
      </c>
      <c r="I21" t="s">
        <v>9</v>
      </c>
      <c r="J21" t="s">
        <v>0</v>
      </c>
      <c r="K21" t="s">
        <v>9</v>
      </c>
      <c r="L21" t="s">
        <v>9</v>
      </c>
      <c r="M21" t="s">
        <v>9</v>
      </c>
      <c r="N21" t="s">
        <v>9</v>
      </c>
      <c r="O21" t="s">
        <v>9</v>
      </c>
      <c r="P21" t="s">
        <v>10</v>
      </c>
      <c r="Q21" t="s">
        <v>9</v>
      </c>
      <c r="R21" t="s">
        <v>9</v>
      </c>
      <c r="S21" t="s">
        <v>10</v>
      </c>
      <c r="T21" t="s">
        <v>10</v>
      </c>
      <c r="U21">
        <v>37</v>
      </c>
      <c r="V21" t="s">
        <v>0</v>
      </c>
    </row>
    <row r="22" spans="1:32" x14ac:dyDescent="0.35">
      <c r="A22" t="s">
        <v>67</v>
      </c>
      <c r="B22" t="s">
        <v>68</v>
      </c>
      <c r="C22" s="1">
        <v>18705</v>
      </c>
      <c r="D22" s="1">
        <v>45670</v>
      </c>
      <c r="E22">
        <f>INT((Recueil[[#This Row],[Date de recueil]]-Recueil[[#This Row],[DDN]])/365)</f>
        <v>73</v>
      </c>
      <c r="F22" t="s">
        <v>29</v>
      </c>
      <c r="G22" t="s">
        <v>75</v>
      </c>
      <c r="H22" t="s">
        <v>9</v>
      </c>
      <c r="I22" t="s">
        <v>9</v>
      </c>
      <c r="J22" t="s">
        <v>0</v>
      </c>
      <c r="K22" t="s">
        <v>9</v>
      </c>
      <c r="L22" t="s">
        <v>9</v>
      </c>
      <c r="M22" t="s">
        <v>9</v>
      </c>
      <c r="N22" t="s">
        <v>9</v>
      </c>
      <c r="O22" t="s">
        <v>10</v>
      </c>
      <c r="P22" t="s">
        <v>9</v>
      </c>
      <c r="Q22" t="s">
        <v>9</v>
      </c>
      <c r="R22" t="s">
        <v>10</v>
      </c>
      <c r="S22" t="s">
        <v>9</v>
      </c>
      <c r="T22" t="s">
        <v>9</v>
      </c>
      <c r="U22">
        <v>34</v>
      </c>
      <c r="V22" t="s">
        <v>1</v>
      </c>
    </row>
    <row r="23" spans="1:32" x14ac:dyDescent="0.35">
      <c r="A23" t="s">
        <v>78</v>
      </c>
      <c r="B23" t="s">
        <v>79</v>
      </c>
      <c r="C23" s="1">
        <v>21611</v>
      </c>
      <c r="D23" s="1">
        <v>45667</v>
      </c>
      <c r="E23">
        <f>INT((Recueil[[#This Row],[Date de recueil]]-Recueil[[#This Row],[DDN]])/365)</f>
        <v>65</v>
      </c>
      <c r="F23" t="s">
        <v>28</v>
      </c>
      <c r="G23" t="s">
        <v>73</v>
      </c>
      <c r="H23" t="s">
        <v>9</v>
      </c>
      <c r="I23" t="s">
        <v>9</v>
      </c>
      <c r="J23" t="s">
        <v>1</v>
      </c>
      <c r="L23" t="s">
        <v>9</v>
      </c>
      <c r="M23" t="s">
        <v>10</v>
      </c>
      <c r="N23" t="s">
        <v>10</v>
      </c>
      <c r="O23" t="s">
        <v>10</v>
      </c>
      <c r="P23" t="s">
        <v>10</v>
      </c>
      <c r="Q23" t="s">
        <v>10</v>
      </c>
      <c r="R23" t="s">
        <v>10</v>
      </c>
      <c r="S23" t="s">
        <v>10</v>
      </c>
      <c r="T23" t="s">
        <v>10</v>
      </c>
      <c r="U23">
        <v>26</v>
      </c>
      <c r="V23" t="s">
        <v>1</v>
      </c>
    </row>
    <row r="24" spans="1:32" x14ac:dyDescent="0.35">
      <c r="A24" t="s">
        <v>80</v>
      </c>
      <c r="B24" t="s">
        <v>81</v>
      </c>
      <c r="C24" s="1">
        <v>32315</v>
      </c>
      <c r="D24" s="1">
        <v>45650</v>
      </c>
      <c r="E24">
        <f>INT((Recueil[[#This Row],[Date de recueil]]-Recueil[[#This Row],[DDN]])/365)</f>
        <v>36</v>
      </c>
      <c r="F24" t="s">
        <v>29</v>
      </c>
      <c r="G24" t="s">
        <v>74</v>
      </c>
      <c r="H24" t="s">
        <v>10</v>
      </c>
      <c r="I24" t="s">
        <v>10</v>
      </c>
      <c r="J24" t="s">
        <v>1</v>
      </c>
      <c r="L24" t="s">
        <v>10</v>
      </c>
      <c r="M24" t="s">
        <v>10</v>
      </c>
      <c r="N24" t="s">
        <v>10</v>
      </c>
      <c r="O24" t="s">
        <v>10</v>
      </c>
      <c r="P24" t="s">
        <v>10</v>
      </c>
      <c r="Q24" t="s">
        <v>9</v>
      </c>
      <c r="R24" t="s">
        <v>10</v>
      </c>
      <c r="S24" t="s">
        <v>10</v>
      </c>
      <c r="T24" t="s">
        <v>10</v>
      </c>
      <c r="U24">
        <v>25</v>
      </c>
      <c r="V24" t="s">
        <v>0</v>
      </c>
    </row>
    <row r="25" spans="1:32" x14ac:dyDescent="0.35">
      <c r="A25" t="s">
        <v>82</v>
      </c>
      <c r="B25" t="s">
        <v>83</v>
      </c>
      <c r="C25" s="1">
        <v>35057</v>
      </c>
      <c r="D25" s="1">
        <v>45650</v>
      </c>
      <c r="E25">
        <f>INT((Recueil[[#This Row],[Date de recueil]]-Recueil[[#This Row],[DDN]])/365)</f>
        <v>29</v>
      </c>
      <c r="F25" t="s">
        <v>29</v>
      </c>
      <c r="G25" t="s">
        <v>77</v>
      </c>
      <c r="H25" t="s">
        <v>10</v>
      </c>
      <c r="I25" t="s">
        <v>10</v>
      </c>
      <c r="J25" t="s">
        <v>1</v>
      </c>
      <c r="L25" t="s">
        <v>10</v>
      </c>
      <c r="M25" t="s">
        <v>10</v>
      </c>
      <c r="N25" t="s">
        <v>10</v>
      </c>
      <c r="O25" t="s">
        <v>10</v>
      </c>
      <c r="P25" t="s">
        <v>10</v>
      </c>
      <c r="Q25" t="s">
        <v>10</v>
      </c>
      <c r="R25" t="s">
        <v>10</v>
      </c>
      <c r="S25" t="s">
        <v>10</v>
      </c>
      <c r="T25" t="s">
        <v>10</v>
      </c>
    </row>
    <row r="26" spans="1:32" x14ac:dyDescent="0.35">
      <c r="A26" t="s">
        <v>84</v>
      </c>
      <c r="B26" t="s">
        <v>85</v>
      </c>
      <c r="C26" s="1">
        <v>29029</v>
      </c>
      <c r="D26" s="1">
        <v>45712</v>
      </c>
      <c r="E26">
        <f>INT((Recueil[[#This Row],[Date de recueil]]-Recueil[[#This Row],[DDN]])/365)</f>
        <v>45</v>
      </c>
      <c r="F26" t="s">
        <v>28</v>
      </c>
      <c r="G26" t="s">
        <v>75</v>
      </c>
      <c r="H26" t="s">
        <v>9</v>
      </c>
      <c r="I26" t="s">
        <v>9</v>
      </c>
      <c r="J26" t="s">
        <v>0</v>
      </c>
      <c r="K26" t="s">
        <v>9</v>
      </c>
      <c r="L26" t="s">
        <v>9</v>
      </c>
      <c r="M26" t="s">
        <v>9</v>
      </c>
      <c r="N26" t="s">
        <v>9</v>
      </c>
      <c r="O26" t="s">
        <v>10</v>
      </c>
      <c r="P26" t="s">
        <v>9</v>
      </c>
      <c r="Q26" t="s">
        <v>9</v>
      </c>
      <c r="R26" t="s">
        <v>9</v>
      </c>
      <c r="S26" t="s">
        <v>9</v>
      </c>
      <c r="T26" t="s">
        <v>9</v>
      </c>
      <c r="U26">
        <v>24</v>
      </c>
      <c r="V26" t="s">
        <v>1</v>
      </c>
    </row>
    <row r="27" spans="1:32" x14ac:dyDescent="0.35">
      <c r="A27" t="s">
        <v>86</v>
      </c>
      <c r="B27" t="s">
        <v>87</v>
      </c>
      <c r="C27" s="1">
        <v>20742</v>
      </c>
      <c r="D27" s="1">
        <v>45693</v>
      </c>
      <c r="E27">
        <f>INT((Recueil[[#This Row],[Date de recueil]]-Recueil[[#This Row],[DDN]])/365)</f>
        <v>68</v>
      </c>
      <c r="F27" t="s">
        <v>29</v>
      </c>
      <c r="G27" t="s">
        <v>76</v>
      </c>
      <c r="H27" t="s">
        <v>9</v>
      </c>
      <c r="I27" t="s">
        <v>10</v>
      </c>
      <c r="J27" t="s">
        <v>1</v>
      </c>
      <c r="L27" t="s">
        <v>10</v>
      </c>
      <c r="M27" t="s">
        <v>9</v>
      </c>
      <c r="N27" t="s">
        <v>9</v>
      </c>
      <c r="O27" t="s">
        <v>9</v>
      </c>
      <c r="P27" t="s">
        <v>9</v>
      </c>
      <c r="Q27" t="s">
        <v>9</v>
      </c>
      <c r="R27" t="s">
        <v>9</v>
      </c>
      <c r="S27" t="s">
        <v>9</v>
      </c>
      <c r="T27" t="s">
        <v>9</v>
      </c>
      <c r="U27">
        <v>31</v>
      </c>
      <c r="V27" t="s">
        <v>1</v>
      </c>
    </row>
    <row r="28" spans="1:32" x14ac:dyDescent="0.35">
      <c r="A28" t="s">
        <v>88</v>
      </c>
      <c r="B28" t="s">
        <v>89</v>
      </c>
      <c r="C28" s="1">
        <v>19470</v>
      </c>
      <c r="D28" s="1">
        <v>45719</v>
      </c>
      <c r="E28">
        <f>INT((Recueil[[#This Row],[Date de recueil]]-Recueil[[#This Row],[DDN]])/365)</f>
        <v>71</v>
      </c>
      <c r="F28" t="s">
        <v>29</v>
      </c>
      <c r="G28" t="s">
        <v>75</v>
      </c>
      <c r="H28" t="s">
        <v>9</v>
      </c>
      <c r="I28" t="s">
        <v>9</v>
      </c>
      <c r="J28" t="s">
        <v>1</v>
      </c>
      <c r="L28" t="s">
        <v>9</v>
      </c>
      <c r="M28" t="s">
        <v>9</v>
      </c>
      <c r="N28" t="s">
        <v>9</v>
      </c>
      <c r="O28" t="s">
        <v>10</v>
      </c>
      <c r="P28" t="s">
        <v>10</v>
      </c>
      <c r="Q28" t="s">
        <v>9</v>
      </c>
      <c r="R28" t="s">
        <v>9</v>
      </c>
      <c r="S28" t="s">
        <v>10</v>
      </c>
      <c r="T28" t="s">
        <v>10</v>
      </c>
      <c r="U28">
        <v>36</v>
      </c>
      <c r="V28" t="s">
        <v>0</v>
      </c>
    </row>
    <row r="29" spans="1:32" x14ac:dyDescent="0.35">
      <c r="A29" t="s">
        <v>88</v>
      </c>
      <c r="B29" t="s">
        <v>89</v>
      </c>
      <c r="C29" s="1">
        <v>19470</v>
      </c>
      <c r="D29" s="1">
        <v>45719</v>
      </c>
      <c r="E29">
        <f>INT((Recueil[[#This Row],[Date de recueil]]-Recueil[[#This Row],[DDN]])/365)</f>
        <v>71</v>
      </c>
      <c r="F29" t="s">
        <v>28</v>
      </c>
      <c r="G29" t="s">
        <v>75</v>
      </c>
      <c r="H29" t="s">
        <v>9</v>
      </c>
      <c r="I29" t="s">
        <v>9</v>
      </c>
      <c r="J29" t="s">
        <v>1</v>
      </c>
      <c r="L29" t="s">
        <v>9</v>
      </c>
      <c r="M29" t="s">
        <v>9</v>
      </c>
      <c r="N29" t="s">
        <v>9</v>
      </c>
      <c r="O29" t="s">
        <v>9</v>
      </c>
      <c r="P29" t="s">
        <v>10</v>
      </c>
      <c r="Q29" t="s">
        <v>9</v>
      </c>
      <c r="R29" t="s">
        <v>9</v>
      </c>
      <c r="S29" t="s">
        <v>9</v>
      </c>
      <c r="T29" t="s">
        <v>10</v>
      </c>
      <c r="U29">
        <v>36</v>
      </c>
      <c r="V29" t="s">
        <v>0</v>
      </c>
    </row>
    <row r="30" spans="1:32" x14ac:dyDescent="0.35">
      <c r="A30" t="s">
        <v>90</v>
      </c>
      <c r="B30" t="s">
        <v>91</v>
      </c>
      <c r="C30" s="1">
        <v>33137</v>
      </c>
      <c r="D30" s="1">
        <v>45719</v>
      </c>
      <c r="E30">
        <v>34</v>
      </c>
      <c r="F30" t="s">
        <v>29</v>
      </c>
      <c r="G30" t="s">
        <v>77</v>
      </c>
      <c r="H30" t="s">
        <v>9</v>
      </c>
      <c r="I30" t="s">
        <v>9</v>
      </c>
      <c r="J30" t="s">
        <v>1</v>
      </c>
      <c r="L30" t="s">
        <v>9</v>
      </c>
      <c r="M30" t="s">
        <v>9</v>
      </c>
      <c r="N30" t="s">
        <v>9</v>
      </c>
      <c r="O30" t="s">
        <v>9</v>
      </c>
      <c r="P30" t="s">
        <v>10</v>
      </c>
      <c r="Q30" t="s">
        <v>9</v>
      </c>
      <c r="R30" t="s">
        <v>9</v>
      </c>
      <c r="S30" t="s">
        <v>9</v>
      </c>
      <c r="T30" t="s">
        <v>10</v>
      </c>
      <c r="U30">
        <v>25</v>
      </c>
      <c r="V30" t="s">
        <v>0</v>
      </c>
    </row>
    <row r="31" spans="1:32" x14ac:dyDescent="0.35">
      <c r="A31" t="s">
        <v>92</v>
      </c>
      <c r="B31" t="s">
        <v>91</v>
      </c>
      <c r="C31" s="1">
        <v>33137</v>
      </c>
      <c r="D31" s="1">
        <v>45719</v>
      </c>
      <c r="E31">
        <f>INT((Recueil[[#This Row],[Date de recueil]]-Recueil[[#This Row],[DDN]])/365)</f>
        <v>34</v>
      </c>
      <c r="F31" t="s">
        <v>28</v>
      </c>
      <c r="G31" t="s">
        <v>77</v>
      </c>
      <c r="H31" t="s">
        <v>9</v>
      </c>
      <c r="I31" t="s">
        <v>9</v>
      </c>
      <c r="J31" t="s">
        <v>1</v>
      </c>
      <c r="L31" t="s">
        <v>9</v>
      </c>
      <c r="M31" t="s">
        <v>9</v>
      </c>
      <c r="N31" t="s">
        <v>9</v>
      </c>
      <c r="O31" t="s">
        <v>9</v>
      </c>
      <c r="P31" t="s">
        <v>10</v>
      </c>
      <c r="Q31" t="s">
        <v>9</v>
      </c>
      <c r="R31" t="s">
        <v>9</v>
      </c>
      <c r="S31" t="s">
        <v>9</v>
      </c>
      <c r="T31" t="s">
        <v>10</v>
      </c>
      <c r="U31">
        <v>25</v>
      </c>
      <c r="V31" t="s">
        <v>0</v>
      </c>
      <c r="AF31" s="3"/>
    </row>
    <row r="32" spans="1:32" x14ac:dyDescent="0.35">
      <c r="A32" t="s">
        <v>93</v>
      </c>
      <c r="B32" t="s">
        <v>94</v>
      </c>
      <c r="C32" s="1">
        <v>28262</v>
      </c>
      <c r="D32" s="1">
        <v>45712</v>
      </c>
      <c r="E32">
        <f>INT((Recueil[[#This Row],[Date de recueil]]-Recueil[[#This Row],[DDN]])/365)</f>
        <v>47</v>
      </c>
      <c r="F32" t="s">
        <v>28</v>
      </c>
      <c r="G32" t="s">
        <v>77</v>
      </c>
      <c r="H32" t="s">
        <v>9</v>
      </c>
      <c r="I32" t="s">
        <v>9</v>
      </c>
      <c r="J32" t="s">
        <v>1</v>
      </c>
      <c r="L32" t="s">
        <v>9</v>
      </c>
      <c r="M32" t="s">
        <v>9</v>
      </c>
      <c r="N32" t="s">
        <v>10</v>
      </c>
      <c r="O32" t="s">
        <v>10</v>
      </c>
      <c r="P32" t="s">
        <v>10</v>
      </c>
      <c r="Q32" t="s">
        <v>9</v>
      </c>
      <c r="R32" t="s">
        <v>9</v>
      </c>
      <c r="S32" t="s">
        <v>10</v>
      </c>
      <c r="T32" t="s">
        <v>10</v>
      </c>
      <c r="U32">
        <v>29</v>
      </c>
      <c r="V32" t="s">
        <v>1</v>
      </c>
    </row>
    <row r="33" spans="1:28" x14ac:dyDescent="0.35">
      <c r="A33" t="s">
        <v>95</v>
      </c>
      <c r="B33" t="s">
        <v>96</v>
      </c>
      <c r="C33" s="1">
        <v>34794</v>
      </c>
      <c r="D33" s="1">
        <v>45691</v>
      </c>
      <c r="E33">
        <v>29</v>
      </c>
      <c r="F33" t="s">
        <v>29</v>
      </c>
      <c r="G33" t="s">
        <v>77</v>
      </c>
      <c r="H33" t="s">
        <v>9</v>
      </c>
      <c r="I33" t="s">
        <v>3</v>
      </c>
      <c r="J33" t="s">
        <v>1</v>
      </c>
      <c r="L33" t="s">
        <v>3</v>
      </c>
      <c r="M33" t="s">
        <v>9</v>
      </c>
      <c r="N33" t="s">
        <v>9</v>
      </c>
      <c r="O33" t="s">
        <v>9</v>
      </c>
      <c r="P33" t="s">
        <v>9</v>
      </c>
      <c r="Q33" t="s">
        <v>9</v>
      </c>
      <c r="R33" t="s">
        <v>9</v>
      </c>
      <c r="S33" t="s">
        <v>9</v>
      </c>
      <c r="T33" t="s">
        <v>10</v>
      </c>
      <c r="U33">
        <v>32</v>
      </c>
      <c r="V33" t="s">
        <v>1</v>
      </c>
      <c r="AB33" s="3"/>
    </row>
    <row r="34" spans="1:28" x14ac:dyDescent="0.35">
      <c r="A34" t="s">
        <v>97</v>
      </c>
      <c r="B34" t="s">
        <v>98</v>
      </c>
      <c r="C34" s="1">
        <v>30397</v>
      </c>
      <c r="D34" s="1">
        <v>45691</v>
      </c>
      <c r="E34">
        <f>INT((Recueil[[#This Row],[Date de recueil]]-Recueil[[#This Row],[DDN]])/365)</f>
        <v>41</v>
      </c>
      <c r="F34" t="s">
        <v>29</v>
      </c>
      <c r="G34" t="s">
        <v>75</v>
      </c>
      <c r="H34" t="s">
        <v>9</v>
      </c>
      <c r="I34" t="s">
        <v>10</v>
      </c>
      <c r="J34" t="s">
        <v>1</v>
      </c>
      <c r="L34" t="s">
        <v>10</v>
      </c>
      <c r="M34" t="s">
        <v>9</v>
      </c>
      <c r="N34" t="s">
        <v>9</v>
      </c>
      <c r="O34" t="s">
        <v>9</v>
      </c>
      <c r="P34" t="s">
        <v>9</v>
      </c>
      <c r="Q34" t="s">
        <v>9</v>
      </c>
      <c r="R34" t="s">
        <v>9</v>
      </c>
      <c r="S34" t="s">
        <v>9</v>
      </c>
      <c r="T34" t="s">
        <v>9</v>
      </c>
      <c r="U34">
        <v>25</v>
      </c>
      <c r="V34" t="s">
        <v>1</v>
      </c>
    </row>
    <row r="35" spans="1:28" x14ac:dyDescent="0.35">
      <c r="A35" t="s">
        <v>97</v>
      </c>
      <c r="B35" t="s">
        <v>98</v>
      </c>
      <c r="C35" s="1">
        <v>30397</v>
      </c>
      <c r="D35" s="1">
        <v>45691</v>
      </c>
      <c r="E35">
        <f>INT((Recueil[[#This Row],[Date de recueil]]-Recueil[[#This Row],[DDN]])/365)</f>
        <v>41</v>
      </c>
      <c r="F35" t="s">
        <v>28</v>
      </c>
      <c r="G35" t="s">
        <v>75</v>
      </c>
      <c r="H35" t="s">
        <v>9</v>
      </c>
      <c r="I35" t="s">
        <v>10</v>
      </c>
      <c r="J35" t="s">
        <v>1</v>
      </c>
      <c r="L35" t="s">
        <v>10</v>
      </c>
      <c r="M35" t="s">
        <v>9</v>
      </c>
      <c r="N35" t="s">
        <v>9</v>
      </c>
      <c r="O35" t="s">
        <v>9</v>
      </c>
      <c r="P35" t="s">
        <v>9</v>
      </c>
      <c r="Q35" t="s">
        <v>9</v>
      </c>
      <c r="R35" t="s">
        <v>9</v>
      </c>
      <c r="S35" t="s">
        <v>9</v>
      </c>
      <c r="T35" t="s">
        <v>9</v>
      </c>
      <c r="U35">
        <v>25</v>
      </c>
      <c r="V35" t="s">
        <v>1</v>
      </c>
    </row>
    <row r="36" spans="1:28" x14ac:dyDescent="0.35">
      <c r="A36" t="s">
        <v>99</v>
      </c>
      <c r="B36" t="s">
        <v>100</v>
      </c>
      <c r="C36" s="1">
        <v>27302</v>
      </c>
      <c r="D36" s="4">
        <v>45749</v>
      </c>
      <c r="E36">
        <v>50</v>
      </c>
      <c r="F36" t="s">
        <v>29</v>
      </c>
      <c r="G36" t="s">
        <v>77</v>
      </c>
      <c r="H36" t="s">
        <v>9</v>
      </c>
      <c r="I36" t="s">
        <v>9</v>
      </c>
      <c r="J36" t="s">
        <v>0</v>
      </c>
      <c r="K36" t="s">
        <v>9</v>
      </c>
      <c r="L36" t="s">
        <v>9</v>
      </c>
      <c r="M36" t="s">
        <v>9</v>
      </c>
      <c r="N36" t="s">
        <v>10</v>
      </c>
      <c r="O36" t="s">
        <v>9</v>
      </c>
      <c r="P36" t="s">
        <v>10</v>
      </c>
      <c r="Q36" t="s">
        <v>9</v>
      </c>
      <c r="R36" t="s">
        <v>10</v>
      </c>
      <c r="S36" t="s">
        <v>9</v>
      </c>
      <c r="T36" t="s">
        <v>10</v>
      </c>
      <c r="U36">
        <v>24</v>
      </c>
      <c r="V36" t="s">
        <v>0</v>
      </c>
    </row>
    <row r="37" spans="1:28" x14ac:dyDescent="0.35">
      <c r="A37" t="s">
        <v>101</v>
      </c>
      <c r="B37" t="s">
        <v>40</v>
      </c>
      <c r="C37" s="1">
        <v>26462</v>
      </c>
      <c r="D37" s="1">
        <v>45729</v>
      </c>
      <c r="E37">
        <f>INT((Recueil[[#This Row],[Date de recueil]]-Recueil[[#This Row],[DDN]])/365)</f>
        <v>52</v>
      </c>
      <c r="F37" t="s">
        <v>29</v>
      </c>
      <c r="G37" t="s">
        <v>75</v>
      </c>
      <c r="H37" t="s">
        <v>9</v>
      </c>
      <c r="I37" t="s">
        <v>9</v>
      </c>
      <c r="J37" t="s">
        <v>1</v>
      </c>
      <c r="L37" t="s">
        <v>9</v>
      </c>
      <c r="M37" t="s">
        <v>10</v>
      </c>
      <c r="N37" t="s">
        <v>9</v>
      </c>
      <c r="O37" t="s">
        <v>9</v>
      </c>
      <c r="P37" t="s">
        <v>10</v>
      </c>
      <c r="Q37" t="s">
        <v>10</v>
      </c>
      <c r="R37" t="s">
        <v>9</v>
      </c>
      <c r="S37" t="s">
        <v>9</v>
      </c>
      <c r="T37" t="s">
        <v>10</v>
      </c>
      <c r="U37">
        <v>28</v>
      </c>
      <c r="V37" t="s">
        <v>0</v>
      </c>
    </row>
    <row r="38" spans="1:28" x14ac:dyDescent="0.35">
      <c r="A38" t="s">
        <v>102</v>
      </c>
      <c r="B38" t="s">
        <v>103</v>
      </c>
      <c r="C38" s="1">
        <v>33438</v>
      </c>
      <c r="D38" s="1">
        <v>45740</v>
      </c>
      <c r="E38">
        <f>INT((Recueil[[#This Row],[Date de recueil]]-Recueil[[#This Row],[DDN]])/365)</f>
        <v>33</v>
      </c>
      <c r="F38" t="s">
        <v>28</v>
      </c>
      <c r="G38" t="s">
        <v>75</v>
      </c>
      <c r="H38" t="s">
        <v>9</v>
      </c>
      <c r="I38" t="s">
        <v>10</v>
      </c>
      <c r="J38" t="s">
        <v>1</v>
      </c>
      <c r="L38" t="s">
        <v>10</v>
      </c>
      <c r="M38" t="s">
        <v>9</v>
      </c>
      <c r="N38" t="s">
        <v>9</v>
      </c>
      <c r="O38" t="s">
        <v>9</v>
      </c>
      <c r="P38" t="s">
        <v>10</v>
      </c>
      <c r="Q38" t="s">
        <v>9</v>
      </c>
      <c r="R38" t="s">
        <v>9</v>
      </c>
      <c r="S38" t="s">
        <v>9</v>
      </c>
      <c r="T38" t="s">
        <v>9</v>
      </c>
      <c r="U38">
        <v>22</v>
      </c>
      <c r="V38" t="s">
        <v>1</v>
      </c>
    </row>
    <row r="39" spans="1:28" x14ac:dyDescent="0.35">
      <c r="A39" t="s">
        <v>104</v>
      </c>
      <c r="B39" t="s">
        <v>105</v>
      </c>
      <c r="C39" s="1">
        <v>25203</v>
      </c>
      <c r="D39" s="1">
        <v>45740</v>
      </c>
      <c r="E39">
        <f>INT((Recueil[[#This Row],[Date de recueil]]-Recueil[[#This Row],[DDN]])/365)</f>
        <v>56</v>
      </c>
      <c r="F39" t="s">
        <v>28</v>
      </c>
      <c r="G39" t="s">
        <v>75</v>
      </c>
      <c r="H39" t="s">
        <v>9</v>
      </c>
      <c r="I39" t="s">
        <v>9</v>
      </c>
      <c r="J39" t="s">
        <v>1</v>
      </c>
      <c r="L39" t="s">
        <v>9</v>
      </c>
      <c r="M39" t="s">
        <v>9</v>
      </c>
      <c r="N39" t="s">
        <v>9</v>
      </c>
      <c r="O39" t="s">
        <v>9</v>
      </c>
      <c r="P39" t="s">
        <v>10</v>
      </c>
      <c r="Q39" t="s">
        <v>9</v>
      </c>
      <c r="R39" t="s">
        <v>9</v>
      </c>
      <c r="S39" t="s">
        <v>9</v>
      </c>
      <c r="T39" t="s">
        <v>10</v>
      </c>
      <c r="U39">
        <v>28</v>
      </c>
      <c r="V39" t="s">
        <v>1</v>
      </c>
    </row>
    <row r="40" spans="1:28" x14ac:dyDescent="0.35">
      <c r="A40" t="s">
        <v>106</v>
      </c>
      <c r="B40" t="s">
        <v>107</v>
      </c>
      <c r="C40" s="1">
        <v>27375</v>
      </c>
      <c r="D40" s="1">
        <v>45740</v>
      </c>
      <c r="E40">
        <f>INT((Recueil[[#This Row],[Date de recueil]]-Recueil[[#This Row],[DDN]])/365)</f>
        <v>50</v>
      </c>
      <c r="F40" t="s">
        <v>29</v>
      </c>
      <c r="G40" t="s">
        <v>75</v>
      </c>
      <c r="H40" t="s">
        <v>9</v>
      </c>
      <c r="I40" t="s">
        <v>9</v>
      </c>
      <c r="J40" t="s">
        <v>0</v>
      </c>
      <c r="K40" t="s">
        <v>9</v>
      </c>
      <c r="L40" t="s">
        <v>9</v>
      </c>
      <c r="M40" t="s">
        <v>9</v>
      </c>
      <c r="N40" t="s">
        <v>9</v>
      </c>
      <c r="O40" t="s">
        <v>9</v>
      </c>
      <c r="P40" t="s">
        <v>10</v>
      </c>
      <c r="Q40" t="s">
        <v>9</v>
      </c>
      <c r="R40" t="s">
        <v>10</v>
      </c>
      <c r="S40" t="s">
        <v>9</v>
      </c>
      <c r="T40" t="s">
        <v>10</v>
      </c>
      <c r="U40">
        <v>17</v>
      </c>
      <c r="V40" t="s">
        <v>0</v>
      </c>
    </row>
    <row r="41" spans="1:28" x14ac:dyDescent="0.35">
      <c r="A41" t="s">
        <v>106</v>
      </c>
      <c r="B41" t="s">
        <v>107</v>
      </c>
      <c r="C41" s="1">
        <v>27375</v>
      </c>
      <c r="D41" s="1">
        <v>45740</v>
      </c>
      <c r="E41">
        <f>INT((Recueil[[#This Row],[Date de recueil]]-Recueil[[#This Row],[DDN]])/365)</f>
        <v>50</v>
      </c>
      <c r="F41" t="s">
        <v>28</v>
      </c>
      <c r="G41" t="s">
        <v>75</v>
      </c>
      <c r="H41" t="s">
        <v>9</v>
      </c>
      <c r="I41" t="s">
        <v>9</v>
      </c>
      <c r="J41" t="s">
        <v>0</v>
      </c>
      <c r="K41" t="s">
        <v>9</v>
      </c>
      <c r="L41" t="s">
        <v>9</v>
      </c>
      <c r="M41" t="s">
        <v>9</v>
      </c>
      <c r="N41" t="s">
        <v>10</v>
      </c>
      <c r="O41" t="s">
        <v>9</v>
      </c>
      <c r="P41" t="s">
        <v>10</v>
      </c>
      <c r="Q41" t="s">
        <v>9</v>
      </c>
      <c r="R41" t="s">
        <v>9</v>
      </c>
      <c r="S41" t="s">
        <v>9</v>
      </c>
      <c r="T41" t="s">
        <v>10</v>
      </c>
      <c r="U41">
        <v>17</v>
      </c>
      <c r="V41" t="s">
        <v>0</v>
      </c>
    </row>
    <row r="42" spans="1:28" x14ac:dyDescent="0.35">
      <c r="A42" t="s">
        <v>108</v>
      </c>
      <c r="B42" t="s">
        <v>109</v>
      </c>
      <c r="C42" s="1">
        <v>26759</v>
      </c>
      <c r="D42" s="1">
        <v>45735</v>
      </c>
      <c r="E42">
        <f>INT((Recueil[[#This Row],[Date de recueil]]-Recueil[[#This Row],[DDN]])/365)</f>
        <v>51</v>
      </c>
      <c r="F42" t="s">
        <v>29</v>
      </c>
      <c r="G42" t="s">
        <v>75</v>
      </c>
      <c r="H42" t="s">
        <v>9</v>
      </c>
      <c r="I42" t="s">
        <v>9</v>
      </c>
      <c r="J42" t="s">
        <v>0</v>
      </c>
      <c r="K42" t="s">
        <v>9</v>
      </c>
      <c r="L42" t="s">
        <v>9</v>
      </c>
      <c r="M42" t="s">
        <v>9</v>
      </c>
      <c r="N42" t="s">
        <v>9</v>
      </c>
      <c r="O42" t="s">
        <v>9</v>
      </c>
      <c r="P42" t="s">
        <v>10</v>
      </c>
      <c r="Q42" t="s">
        <v>9</v>
      </c>
      <c r="R42" t="s">
        <v>9</v>
      </c>
      <c r="S42" t="s">
        <v>9</v>
      </c>
      <c r="T42" t="s">
        <v>10</v>
      </c>
      <c r="V42" t="s">
        <v>1</v>
      </c>
    </row>
    <row r="43" spans="1:28" x14ac:dyDescent="0.35">
      <c r="A43" t="s">
        <v>110</v>
      </c>
      <c r="B43" t="s">
        <v>35</v>
      </c>
      <c r="C43" s="1">
        <v>27134</v>
      </c>
      <c r="D43" s="1">
        <v>45744</v>
      </c>
      <c r="E43">
        <f>INT((Recueil[[#This Row],[Date de recueil]]-Recueil[[#This Row],[DDN]])/365)</f>
        <v>50</v>
      </c>
      <c r="F43" t="s">
        <v>28</v>
      </c>
      <c r="G43" t="s">
        <v>77</v>
      </c>
      <c r="H43" t="s">
        <v>9</v>
      </c>
      <c r="I43" t="s">
        <v>10</v>
      </c>
      <c r="J43" t="s">
        <v>1</v>
      </c>
      <c r="L43" t="s">
        <v>10</v>
      </c>
      <c r="M43" t="s">
        <v>10</v>
      </c>
      <c r="N43" t="s">
        <v>10</v>
      </c>
      <c r="O43" t="s">
        <v>10</v>
      </c>
      <c r="P43" t="s">
        <v>10</v>
      </c>
      <c r="Q43" t="s">
        <v>10</v>
      </c>
      <c r="R43" t="s">
        <v>10</v>
      </c>
      <c r="S43" t="s">
        <v>10</v>
      </c>
      <c r="T43" t="s">
        <v>10</v>
      </c>
    </row>
    <row r="44" spans="1:28" x14ac:dyDescent="0.35">
      <c r="A44" t="s">
        <v>111</v>
      </c>
      <c r="B44" t="s">
        <v>112</v>
      </c>
      <c r="C44" s="1">
        <v>24986</v>
      </c>
      <c r="D44" s="1">
        <v>45754</v>
      </c>
      <c r="E44">
        <f>INT((Recueil[[#This Row],[Date de recueil]]-Recueil[[#This Row],[DDN]])/365)</f>
        <v>56</v>
      </c>
      <c r="F44" t="s">
        <v>28</v>
      </c>
      <c r="G44" t="s">
        <v>77</v>
      </c>
      <c r="H44" t="s">
        <v>9</v>
      </c>
      <c r="I44" t="s">
        <v>9</v>
      </c>
      <c r="J44" t="s">
        <v>1</v>
      </c>
      <c r="L44" t="s">
        <v>9</v>
      </c>
      <c r="M44" t="s">
        <v>10</v>
      </c>
      <c r="N44" t="s">
        <v>10</v>
      </c>
      <c r="O44" t="s">
        <v>10</v>
      </c>
      <c r="P44" t="s">
        <v>10</v>
      </c>
      <c r="Q44" t="s">
        <v>25</v>
      </c>
      <c r="R44" t="s">
        <v>25</v>
      </c>
      <c r="S44" t="s">
        <v>25</v>
      </c>
      <c r="T44" t="s">
        <v>25</v>
      </c>
    </row>
    <row r="45" spans="1:28" x14ac:dyDescent="0.35">
      <c r="A45" t="s">
        <v>113</v>
      </c>
      <c r="B45" t="s">
        <v>114</v>
      </c>
      <c r="C45" s="1">
        <v>17869</v>
      </c>
      <c r="D45" s="1">
        <v>45762</v>
      </c>
      <c r="E45">
        <f>INT((Recueil[[#This Row],[Date de recueil]]-Recueil[[#This Row],[DDN]])/365)</f>
        <v>76</v>
      </c>
      <c r="F45" t="s">
        <v>28</v>
      </c>
      <c r="G45" t="s">
        <v>75</v>
      </c>
      <c r="H45" t="s">
        <v>9</v>
      </c>
      <c r="I45" t="s">
        <v>9</v>
      </c>
      <c r="J45" t="s">
        <v>0</v>
      </c>
      <c r="K45" t="s">
        <v>9</v>
      </c>
      <c r="L45" t="s">
        <v>9</v>
      </c>
      <c r="M45" t="s">
        <v>9</v>
      </c>
      <c r="N45" t="s">
        <v>10</v>
      </c>
      <c r="O45" t="s">
        <v>10</v>
      </c>
      <c r="P45" t="s">
        <v>10</v>
      </c>
      <c r="Q45" t="s">
        <v>25</v>
      </c>
      <c r="R45" t="s">
        <v>25</v>
      </c>
      <c r="S45" t="s">
        <v>25</v>
      </c>
      <c r="T45" t="s">
        <v>25</v>
      </c>
      <c r="U45">
        <v>20</v>
      </c>
      <c r="V45" t="s">
        <v>1</v>
      </c>
    </row>
    <row r="46" spans="1:28" x14ac:dyDescent="0.35">
      <c r="A46" t="s">
        <v>115</v>
      </c>
      <c r="B46" t="s">
        <v>116</v>
      </c>
      <c r="C46" s="1">
        <v>30264</v>
      </c>
      <c r="D46" s="1">
        <v>45775</v>
      </c>
      <c r="E46">
        <f>INT((Recueil[[#This Row],[Date de recueil]]-Recueil[[#This Row],[DDN]])/365)</f>
        <v>42</v>
      </c>
      <c r="F46" t="s">
        <v>29</v>
      </c>
      <c r="G46" t="s">
        <v>74</v>
      </c>
      <c r="H46" t="s">
        <v>9</v>
      </c>
      <c r="I46" t="s">
        <v>9</v>
      </c>
      <c r="J46" t="s">
        <v>1</v>
      </c>
      <c r="L46" t="s">
        <v>9</v>
      </c>
      <c r="M46" t="s">
        <v>9</v>
      </c>
      <c r="N46" t="s">
        <v>9</v>
      </c>
      <c r="O46" t="s">
        <v>9</v>
      </c>
      <c r="P46" t="s">
        <v>9</v>
      </c>
      <c r="Q46" t="s">
        <v>9</v>
      </c>
      <c r="R46" t="s">
        <v>9</v>
      </c>
      <c r="S46" t="s">
        <v>10</v>
      </c>
      <c r="T46" t="s">
        <v>10</v>
      </c>
      <c r="U46">
        <v>33</v>
      </c>
      <c r="V46" t="s">
        <v>1</v>
      </c>
    </row>
    <row r="47" spans="1:28" x14ac:dyDescent="0.35">
      <c r="A47" t="s">
        <v>117</v>
      </c>
      <c r="B47" t="s">
        <v>118</v>
      </c>
      <c r="C47" s="1">
        <v>25221</v>
      </c>
      <c r="D47" s="1">
        <v>45796</v>
      </c>
      <c r="E47">
        <f>INT((Recueil[[#This Row],[Date de recueil]]-Recueil[[#This Row],[DDN]])/365)</f>
        <v>56</v>
      </c>
      <c r="F47" t="s">
        <v>29</v>
      </c>
      <c r="G47" t="s">
        <v>75</v>
      </c>
      <c r="H47" t="s">
        <v>9</v>
      </c>
      <c r="I47" t="s">
        <v>9</v>
      </c>
      <c r="J47" t="s">
        <v>0</v>
      </c>
      <c r="K47" t="s">
        <v>9</v>
      </c>
      <c r="L47" t="s">
        <v>9</v>
      </c>
      <c r="M47" t="s">
        <v>9</v>
      </c>
      <c r="N47" t="s">
        <v>9</v>
      </c>
      <c r="O47" t="s">
        <v>10</v>
      </c>
      <c r="P47" t="s">
        <v>9</v>
      </c>
      <c r="Q47" t="s">
        <v>9</v>
      </c>
      <c r="R47" t="s">
        <v>10</v>
      </c>
      <c r="S47" t="s">
        <v>9</v>
      </c>
      <c r="T47" t="s">
        <v>9</v>
      </c>
      <c r="U47">
        <v>22</v>
      </c>
    </row>
    <row r="48" spans="1:28" x14ac:dyDescent="0.35">
      <c r="A48" t="s">
        <v>119</v>
      </c>
      <c r="B48" t="s">
        <v>120</v>
      </c>
      <c r="C48" s="1">
        <v>35938</v>
      </c>
      <c r="D48" s="1">
        <v>45796</v>
      </c>
      <c r="E48">
        <f>INT((Recueil[[#This Row],[Date de recueil]]-Recueil[[#This Row],[DDN]])/365)</f>
        <v>27</v>
      </c>
      <c r="F48" t="s">
        <v>28</v>
      </c>
      <c r="G48" t="s">
        <v>74</v>
      </c>
      <c r="H48" t="s">
        <v>10</v>
      </c>
      <c r="I48" t="s">
        <v>10</v>
      </c>
      <c r="J48" t="s">
        <v>1</v>
      </c>
      <c r="L48" t="s">
        <v>10</v>
      </c>
      <c r="M48" t="s">
        <v>10</v>
      </c>
      <c r="N48" t="s">
        <v>10</v>
      </c>
      <c r="O48" t="s">
        <v>10</v>
      </c>
      <c r="P48" t="s">
        <v>10</v>
      </c>
      <c r="Q48" t="s">
        <v>10</v>
      </c>
      <c r="R48" t="s">
        <v>10</v>
      </c>
      <c r="S48" t="s">
        <v>10</v>
      </c>
      <c r="T48" t="s">
        <v>10</v>
      </c>
      <c r="U48">
        <v>19</v>
      </c>
      <c r="V48" t="s">
        <v>1</v>
      </c>
    </row>
    <row r="49" spans="1:23" x14ac:dyDescent="0.35">
      <c r="A49" t="s">
        <v>121</v>
      </c>
      <c r="B49" t="s">
        <v>122</v>
      </c>
      <c r="C49" s="1">
        <v>28587</v>
      </c>
      <c r="D49" s="1">
        <v>45796</v>
      </c>
      <c r="E49">
        <f>INT((Recueil[[#This Row],[Date de recueil]]-Recueil[[#This Row],[DDN]])/365)</f>
        <v>47</v>
      </c>
      <c r="F49" t="s">
        <v>29</v>
      </c>
      <c r="G49" t="s">
        <v>77</v>
      </c>
      <c r="H49" t="s">
        <v>3</v>
      </c>
      <c r="I49" t="s">
        <v>10</v>
      </c>
      <c r="J49" t="s">
        <v>1</v>
      </c>
      <c r="L49" t="s">
        <v>9</v>
      </c>
      <c r="M49" t="s">
        <v>9</v>
      </c>
      <c r="N49" t="s">
        <v>9</v>
      </c>
      <c r="O49" t="s">
        <v>9</v>
      </c>
      <c r="P49" t="s">
        <v>9</v>
      </c>
      <c r="Q49" t="s">
        <v>9</v>
      </c>
      <c r="R49" t="s">
        <v>9</v>
      </c>
      <c r="S49" t="s">
        <v>9</v>
      </c>
      <c r="T49" t="s">
        <v>9</v>
      </c>
      <c r="U49">
        <v>45</v>
      </c>
      <c r="V49" t="s">
        <v>1</v>
      </c>
    </row>
    <row r="50" spans="1:23" x14ac:dyDescent="0.35">
      <c r="A50" t="s">
        <v>123</v>
      </c>
      <c r="B50" t="s">
        <v>89</v>
      </c>
      <c r="C50" s="1">
        <v>19374</v>
      </c>
      <c r="D50" s="1">
        <v>45784</v>
      </c>
      <c r="E50">
        <f>INT((Recueil[[#This Row],[Date de recueil]]-Recueil[[#This Row],[DDN]])/365)</f>
        <v>72</v>
      </c>
      <c r="F50" t="s">
        <v>29</v>
      </c>
      <c r="G50" t="s">
        <v>74</v>
      </c>
      <c r="H50" t="s">
        <v>10</v>
      </c>
      <c r="I50" t="s">
        <v>10</v>
      </c>
      <c r="J50" t="s">
        <v>1</v>
      </c>
      <c r="L50" t="s">
        <v>10</v>
      </c>
      <c r="M50" t="s">
        <v>10</v>
      </c>
      <c r="N50" t="s">
        <v>10</v>
      </c>
      <c r="O50" t="s">
        <v>10</v>
      </c>
      <c r="P50" t="s">
        <v>10</v>
      </c>
      <c r="Q50" t="s">
        <v>10</v>
      </c>
      <c r="R50" t="s">
        <v>10</v>
      </c>
      <c r="S50" t="s">
        <v>9</v>
      </c>
      <c r="T50" t="s">
        <v>10</v>
      </c>
      <c r="U50">
        <v>27</v>
      </c>
      <c r="V50" t="s">
        <v>1</v>
      </c>
    </row>
    <row r="51" spans="1:23" x14ac:dyDescent="0.35">
      <c r="A51" t="s">
        <v>123</v>
      </c>
      <c r="B51" t="s">
        <v>89</v>
      </c>
      <c r="C51" s="1">
        <v>19374</v>
      </c>
      <c r="D51" s="1">
        <v>45784</v>
      </c>
      <c r="E51">
        <f>INT((Recueil[[#This Row],[Date de recueil]]-Recueil[[#This Row],[DDN]])/365)</f>
        <v>72</v>
      </c>
      <c r="F51" t="s">
        <v>28</v>
      </c>
      <c r="G51" t="s">
        <v>74</v>
      </c>
      <c r="H51" t="s">
        <v>10</v>
      </c>
      <c r="I51" t="s">
        <v>10</v>
      </c>
      <c r="J51" t="s">
        <v>1</v>
      </c>
      <c r="L51" t="s">
        <v>10</v>
      </c>
      <c r="M51" t="s">
        <v>10</v>
      </c>
      <c r="N51" t="s">
        <v>10</v>
      </c>
      <c r="O51" t="s">
        <v>10</v>
      </c>
      <c r="P51" t="s">
        <v>10</v>
      </c>
      <c r="Q51" t="s">
        <v>10</v>
      </c>
      <c r="R51" t="s">
        <v>10</v>
      </c>
      <c r="S51" t="s">
        <v>10</v>
      </c>
      <c r="T51" t="s">
        <v>10</v>
      </c>
      <c r="U51">
        <v>27</v>
      </c>
      <c r="V51" t="s">
        <v>1</v>
      </c>
    </row>
    <row r="52" spans="1:23" x14ac:dyDescent="0.35">
      <c r="A52" t="s">
        <v>124</v>
      </c>
      <c r="B52" t="s">
        <v>160</v>
      </c>
      <c r="C52" s="1">
        <v>23968</v>
      </c>
      <c r="D52" s="1">
        <v>45838</v>
      </c>
      <c r="E52">
        <f>INT((Recueil[[#This Row],[Date de recueil]]-Recueil[[#This Row],[DDN]])/365)</f>
        <v>59</v>
      </c>
      <c r="F52" t="s">
        <v>29</v>
      </c>
      <c r="G52" t="s">
        <v>75</v>
      </c>
      <c r="H52" t="s">
        <v>3</v>
      </c>
      <c r="I52" t="s">
        <v>3</v>
      </c>
      <c r="J52" t="s">
        <v>0</v>
      </c>
      <c r="K52" t="s">
        <v>10</v>
      </c>
      <c r="L52" t="s">
        <v>10</v>
      </c>
      <c r="M52" t="s">
        <v>9</v>
      </c>
      <c r="N52" t="s">
        <v>9</v>
      </c>
      <c r="O52" t="s">
        <v>10</v>
      </c>
      <c r="P52" t="s">
        <v>9</v>
      </c>
      <c r="Q52" t="s">
        <v>9</v>
      </c>
      <c r="R52" t="s">
        <v>10</v>
      </c>
      <c r="S52" t="s">
        <v>10</v>
      </c>
      <c r="T52" t="s">
        <v>9</v>
      </c>
      <c r="U52">
        <v>31</v>
      </c>
      <c r="V52" t="s">
        <v>1</v>
      </c>
    </row>
    <row r="53" spans="1:23" x14ac:dyDescent="0.35">
      <c r="A53" t="s">
        <v>125</v>
      </c>
      <c r="B53" t="s">
        <v>126</v>
      </c>
      <c r="C53" s="1">
        <v>24826</v>
      </c>
      <c r="D53" s="1">
        <v>45838</v>
      </c>
      <c r="E53">
        <f>INT((Recueil[[#This Row],[Date de recueil]]-Recueil[[#This Row],[DDN]])/365)</f>
        <v>57</v>
      </c>
      <c r="F53" t="s">
        <v>28</v>
      </c>
      <c r="G53" t="s">
        <v>76</v>
      </c>
      <c r="H53" t="s">
        <v>9</v>
      </c>
      <c r="I53" t="s">
        <v>9</v>
      </c>
      <c r="J53" t="s">
        <v>1</v>
      </c>
      <c r="L53" t="s">
        <v>9</v>
      </c>
      <c r="M53" t="s">
        <v>9</v>
      </c>
      <c r="N53" t="s">
        <v>9</v>
      </c>
      <c r="O53" t="s">
        <v>9</v>
      </c>
      <c r="P53" t="s">
        <v>9</v>
      </c>
      <c r="Q53" t="s">
        <v>9</v>
      </c>
      <c r="R53" t="s">
        <v>9</v>
      </c>
      <c r="S53" t="s">
        <v>9</v>
      </c>
      <c r="T53" t="s">
        <v>9</v>
      </c>
      <c r="U53">
        <v>39</v>
      </c>
      <c r="V53" t="s">
        <v>1</v>
      </c>
    </row>
    <row r="54" spans="1:23" x14ac:dyDescent="0.35">
      <c r="A54" t="s">
        <v>127</v>
      </c>
      <c r="B54" t="s">
        <v>128</v>
      </c>
      <c r="C54" s="1">
        <v>27395</v>
      </c>
      <c r="D54" s="1">
        <v>45810</v>
      </c>
      <c r="E54">
        <f>INT((Recueil[[#This Row],[Date de recueil]]-Recueil[[#This Row],[DDN]])/365)</f>
        <v>50</v>
      </c>
      <c r="F54" t="s">
        <v>28</v>
      </c>
      <c r="G54" t="s">
        <v>76</v>
      </c>
      <c r="H54" t="s">
        <v>10</v>
      </c>
      <c r="I54" t="s">
        <v>10</v>
      </c>
      <c r="J54" t="s">
        <v>1</v>
      </c>
      <c r="L54" t="s">
        <v>10</v>
      </c>
      <c r="M54" t="s">
        <v>10</v>
      </c>
      <c r="N54" t="s">
        <v>10</v>
      </c>
      <c r="O54" t="s">
        <v>10</v>
      </c>
      <c r="P54" t="s">
        <v>10</v>
      </c>
      <c r="Q54" t="s">
        <v>10</v>
      </c>
      <c r="R54" t="s">
        <v>9</v>
      </c>
      <c r="S54" t="s">
        <v>10</v>
      </c>
      <c r="T54" t="s">
        <v>10</v>
      </c>
      <c r="U54">
        <v>25</v>
      </c>
      <c r="V54" t="s">
        <v>1</v>
      </c>
    </row>
    <row r="55" spans="1:23" x14ac:dyDescent="0.35">
      <c r="A55" t="s">
        <v>129</v>
      </c>
      <c r="B55" t="s">
        <v>130</v>
      </c>
      <c r="C55" s="1">
        <v>23919</v>
      </c>
      <c r="D55" s="1">
        <v>45775</v>
      </c>
      <c r="E55">
        <f>INT((Recueil[[#This Row],[Date de recueil]]-Recueil[[#This Row],[DDN]])/365)</f>
        <v>59</v>
      </c>
      <c r="F55" t="s">
        <v>29</v>
      </c>
      <c r="G55" t="s">
        <v>76</v>
      </c>
      <c r="H55" t="s">
        <v>9</v>
      </c>
      <c r="I55" t="s">
        <v>9</v>
      </c>
      <c r="J55" t="s">
        <v>1</v>
      </c>
      <c r="L55" t="s">
        <v>9</v>
      </c>
      <c r="M55" t="s">
        <v>9</v>
      </c>
      <c r="N55" t="s">
        <v>9</v>
      </c>
      <c r="O55" t="s">
        <v>9</v>
      </c>
      <c r="P55" t="s">
        <v>9</v>
      </c>
      <c r="Q55" t="s">
        <v>10</v>
      </c>
      <c r="R55" t="s">
        <v>9</v>
      </c>
      <c r="S55" t="s">
        <v>10</v>
      </c>
      <c r="T55" t="s">
        <v>10</v>
      </c>
      <c r="U55">
        <v>23</v>
      </c>
      <c r="V55" t="s">
        <v>0</v>
      </c>
    </row>
    <row r="56" spans="1:23" x14ac:dyDescent="0.35">
      <c r="A56" t="s">
        <v>131</v>
      </c>
      <c r="B56" t="s">
        <v>132</v>
      </c>
      <c r="C56" s="1">
        <v>24836</v>
      </c>
      <c r="D56" s="1">
        <v>45887</v>
      </c>
      <c r="E56">
        <f>INT((Recueil[[#This Row],[Date de recueil]]-Recueil[[#This Row],[DDN]])/365)</f>
        <v>57</v>
      </c>
      <c r="F56" t="s">
        <v>29</v>
      </c>
      <c r="G56" t="s">
        <v>76</v>
      </c>
      <c r="H56" t="s">
        <v>10</v>
      </c>
      <c r="I56" t="s">
        <v>10</v>
      </c>
      <c r="J56" t="s">
        <v>1</v>
      </c>
      <c r="L56" t="s">
        <v>10</v>
      </c>
      <c r="M56" t="s">
        <v>9</v>
      </c>
      <c r="N56" t="s">
        <v>9</v>
      </c>
      <c r="O56" t="s">
        <v>9</v>
      </c>
      <c r="P56" t="s">
        <v>9</v>
      </c>
      <c r="Q56" t="s">
        <v>9</v>
      </c>
      <c r="R56" t="s">
        <v>9</v>
      </c>
      <c r="S56" t="s">
        <v>9</v>
      </c>
      <c r="T56" t="s">
        <v>9</v>
      </c>
      <c r="U56">
        <v>24</v>
      </c>
      <c r="V56" t="s">
        <v>1</v>
      </c>
    </row>
    <row r="57" spans="1:23" x14ac:dyDescent="0.35">
      <c r="A57" t="s">
        <v>133</v>
      </c>
      <c r="B57" t="s">
        <v>134</v>
      </c>
      <c r="C57" s="1">
        <v>32476</v>
      </c>
      <c r="D57" s="1">
        <v>45915</v>
      </c>
      <c r="E57">
        <f>INT((Recueil[[#This Row],[Date de recueil]]-Recueil[[#This Row],[DDN]])/365)</f>
        <v>36</v>
      </c>
      <c r="F57" t="s">
        <v>29</v>
      </c>
      <c r="G57" t="s">
        <v>75</v>
      </c>
      <c r="H57" t="s">
        <v>9</v>
      </c>
      <c r="I57" t="s">
        <v>9</v>
      </c>
      <c r="J57" t="s">
        <v>0</v>
      </c>
      <c r="K57" t="s">
        <v>10</v>
      </c>
      <c r="L57" t="s">
        <v>9</v>
      </c>
      <c r="M57" t="s">
        <v>9</v>
      </c>
      <c r="N57" t="s">
        <v>9</v>
      </c>
      <c r="O57" t="s">
        <v>9</v>
      </c>
      <c r="P57" t="s">
        <v>9</v>
      </c>
      <c r="Q57" t="s">
        <v>9</v>
      </c>
      <c r="R57" t="s">
        <v>9</v>
      </c>
      <c r="S57" t="s">
        <v>9</v>
      </c>
      <c r="T57" t="s">
        <v>9</v>
      </c>
      <c r="U57">
        <v>34</v>
      </c>
      <c r="V57" t="s">
        <v>1</v>
      </c>
      <c r="W57" s="3"/>
    </row>
    <row r="58" spans="1:23" x14ac:dyDescent="0.35">
      <c r="A58" t="s">
        <v>135</v>
      </c>
      <c r="B58" t="s">
        <v>136</v>
      </c>
      <c r="C58" s="1">
        <v>29077</v>
      </c>
      <c r="D58" s="1">
        <v>45985</v>
      </c>
      <c r="E58">
        <f>INT((Recueil[[#This Row],[Date de recueil]]-Recueil[[#This Row],[DDN]])/365)</f>
        <v>46</v>
      </c>
      <c r="F58" t="s">
        <v>29</v>
      </c>
      <c r="G58" t="s">
        <v>76</v>
      </c>
      <c r="H58" t="s">
        <v>9</v>
      </c>
      <c r="I58" t="s">
        <v>3</v>
      </c>
      <c r="J58" t="s">
        <v>1</v>
      </c>
      <c r="L58" t="s">
        <v>9</v>
      </c>
      <c r="M58" t="s">
        <v>9</v>
      </c>
      <c r="N58" t="s">
        <v>9</v>
      </c>
      <c r="O58" t="s">
        <v>9</v>
      </c>
      <c r="P58" t="s">
        <v>10</v>
      </c>
      <c r="Q58" t="s">
        <v>9</v>
      </c>
      <c r="R58" t="s">
        <v>9</v>
      </c>
      <c r="S58" t="s">
        <v>9</v>
      </c>
      <c r="T58" t="s">
        <v>10</v>
      </c>
      <c r="U58">
        <v>20</v>
      </c>
      <c r="V58" t="s">
        <v>1</v>
      </c>
    </row>
    <row r="59" spans="1:23" x14ac:dyDescent="0.35">
      <c r="A59" t="s">
        <v>137</v>
      </c>
      <c r="B59" t="s">
        <v>138</v>
      </c>
      <c r="C59" s="1">
        <v>21055</v>
      </c>
      <c r="D59" s="1">
        <v>46034</v>
      </c>
      <c r="E59">
        <f>INT((Recueil[[#This Row],[Date de recueil]]-Recueil[[#This Row],[DDN]])/365)</f>
        <v>68</v>
      </c>
      <c r="F59" t="s">
        <v>29</v>
      </c>
      <c r="G59" t="s">
        <v>76</v>
      </c>
      <c r="H59" t="s">
        <v>10</v>
      </c>
      <c r="I59" t="s">
        <v>3</v>
      </c>
      <c r="J59" t="s">
        <v>1</v>
      </c>
      <c r="L59" t="s">
        <v>10</v>
      </c>
      <c r="M59" t="s">
        <v>10</v>
      </c>
      <c r="N59" t="s">
        <v>10</v>
      </c>
      <c r="O59" t="s">
        <v>10</v>
      </c>
      <c r="P59" t="s">
        <v>10</v>
      </c>
      <c r="Q59" t="s">
        <v>25</v>
      </c>
      <c r="R59" t="s">
        <v>25</v>
      </c>
      <c r="S59" t="s">
        <v>25</v>
      </c>
      <c r="T59" t="s">
        <v>25</v>
      </c>
      <c r="U59">
        <v>19</v>
      </c>
      <c r="V59" t="s">
        <v>0</v>
      </c>
    </row>
    <row r="60" spans="1:23" x14ac:dyDescent="0.35">
      <c r="A60" t="s">
        <v>139</v>
      </c>
      <c r="B60" t="s">
        <v>140</v>
      </c>
      <c r="C60" s="1">
        <v>26246</v>
      </c>
      <c r="D60" s="1">
        <v>46045</v>
      </c>
      <c r="E60">
        <f>INT((Recueil[[#This Row],[Date de recueil]]-Recueil[[#This Row],[DDN]])/365)</f>
        <v>54</v>
      </c>
      <c r="F60" t="s">
        <v>29</v>
      </c>
      <c r="G60" t="s">
        <v>75</v>
      </c>
      <c r="H60" t="s">
        <v>10</v>
      </c>
      <c r="I60" t="s">
        <v>3</v>
      </c>
      <c r="J60" t="s">
        <v>1</v>
      </c>
      <c r="L60" t="s">
        <v>10</v>
      </c>
      <c r="M60" t="s">
        <v>10</v>
      </c>
      <c r="N60" t="s">
        <v>10</v>
      </c>
      <c r="O60" t="s">
        <v>9</v>
      </c>
      <c r="P60" t="s">
        <v>10</v>
      </c>
      <c r="Q60" t="s">
        <v>10</v>
      </c>
      <c r="R60" t="s">
        <v>10</v>
      </c>
      <c r="S60" t="s">
        <v>9</v>
      </c>
      <c r="T60" t="s">
        <v>10</v>
      </c>
      <c r="U60">
        <v>19</v>
      </c>
      <c r="V60" t="s">
        <v>1</v>
      </c>
    </row>
    <row r="61" spans="1:23" x14ac:dyDescent="0.35">
      <c r="A61" t="s">
        <v>142</v>
      </c>
      <c r="B61" t="s">
        <v>141</v>
      </c>
      <c r="C61" s="1">
        <v>25076</v>
      </c>
      <c r="D61" s="1">
        <v>46048</v>
      </c>
      <c r="E61" s="5">
        <f>INT((Recueil[[#This Row],[Date de recueil]]-Recueil[[#This Row],[DDN]])/365)</f>
        <v>57</v>
      </c>
      <c r="F61" t="s">
        <v>28</v>
      </c>
      <c r="G61" t="s">
        <v>76</v>
      </c>
      <c r="H61" t="s">
        <v>10</v>
      </c>
      <c r="I61" t="s">
        <v>10</v>
      </c>
      <c r="J61" t="s">
        <v>9</v>
      </c>
      <c r="K61" t="s">
        <v>9</v>
      </c>
      <c r="L61" t="s">
        <v>10</v>
      </c>
      <c r="M61" t="s">
        <v>10</v>
      </c>
      <c r="N61" t="s">
        <v>10</v>
      </c>
      <c r="O61" t="s">
        <v>10</v>
      </c>
      <c r="P61" t="s">
        <v>10</v>
      </c>
      <c r="Q61" t="s">
        <v>10</v>
      </c>
      <c r="R61" t="s">
        <v>10</v>
      </c>
      <c r="S61" t="s">
        <v>10</v>
      </c>
      <c r="T61" t="s">
        <v>10</v>
      </c>
      <c r="U61">
        <v>25</v>
      </c>
      <c r="V61" t="s">
        <v>1</v>
      </c>
    </row>
    <row r="62" spans="1:23" x14ac:dyDescent="0.35">
      <c r="A62" t="s">
        <v>143</v>
      </c>
      <c r="B62" t="s">
        <v>144</v>
      </c>
      <c r="C62" s="1">
        <v>32574</v>
      </c>
      <c r="D62" s="1">
        <v>46048</v>
      </c>
      <c r="E62" s="5">
        <f>INT((Recueil[[#This Row],[Date de recueil]]-Recueil[[#This Row],[DDN]])/365)</f>
        <v>36</v>
      </c>
      <c r="F62" t="s">
        <v>28</v>
      </c>
      <c r="G62" t="s">
        <v>74</v>
      </c>
      <c r="H62" t="s">
        <v>10</v>
      </c>
      <c r="I62" t="s">
        <v>10</v>
      </c>
      <c r="J62" t="s">
        <v>10</v>
      </c>
      <c r="L62" t="s">
        <v>10</v>
      </c>
      <c r="M62" t="s">
        <v>10</v>
      </c>
      <c r="N62" t="s">
        <v>10</v>
      </c>
      <c r="O62" t="s">
        <v>10</v>
      </c>
      <c r="P62" t="s">
        <v>10</v>
      </c>
      <c r="Q62" t="s">
        <v>10</v>
      </c>
      <c r="R62" t="s">
        <v>10</v>
      </c>
      <c r="S62" t="s">
        <v>10</v>
      </c>
      <c r="T62" t="s">
        <v>10</v>
      </c>
      <c r="U62">
        <v>20</v>
      </c>
      <c r="V62" t="s">
        <v>0</v>
      </c>
    </row>
    <row r="63" spans="1:23" x14ac:dyDescent="0.35">
      <c r="A63" t="s">
        <v>145</v>
      </c>
      <c r="B63" t="s">
        <v>146</v>
      </c>
      <c r="C63" s="1">
        <v>17779</v>
      </c>
      <c r="D63" s="1">
        <v>46062</v>
      </c>
      <c r="E63" s="5">
        <f>INT((Recueil[[#This Row],[Date de recueil]]-Recueil[[#This Row],[DDN]])/365)</f>
        <v>77</v>
      </c>
      <c r="F63" t="s">
        <v>29</v>
      </c>
      <c r="G63" t="s">
        <v>76</v>
      </c>
      <c r="H63" t="s">
        <v>10</v>
      </c>
      <c r="I63" t="s">
        <v>10</v>
      </c>
      <c r="J63" t="s">
        <v>10</v>
      </c>
      <c r="L63" t="s">
        <v>10</v>
      </c>
      <c r="M63" t="s">
        <v>10</v>
      </c>
      <c r="N63" t="s">
        <v>10</v>
      </c>
      <c r="O63" t="s">
        <v>10</v>
      </c>
      <c r="P63" t="s">
        <v>10</v>
      </c>
      <c r="Q63" t="s">
        <v>25</v>
      </c>
      <c r="R63" t="s">
        <v>25</v>
      </c>
      <c r="S63" t="s">
        <v>25</v>
      </c>
      <c r="T63" t="s">
        <v>25</v>
      </c>
    </row>
    <row r="64" spans="1:23" x14ac:dyDescent="0.35">
      <c r="A64" t="s">
        <v>147</v>
      </c>
      <c r="B64" t="s">
        <v>148</v>
      </c>
      <c r="C64" s="1">
        <v>28459</v>
      </c>
      <c r="D64" s="1">
        <v>46094</v>
      </c>
      <c r="E64" s="5">
        <f>INT((Recueil[[#This Row],[Date de recueil]]-Recueil[[#This Row],[DDN]])/365)</f>
        <v>48</v>
      </c>
      <c r="F64" t="s">
        <v>29</v>
      </c>
      <c r="G64" t="s">
        <v>74</v>
      </c>
      <c r="H64" t="s">
        <v>9</v>
      </c>
      <c r="I64" t="s">
        <v>3</v>
      </c>
      <c r="J64" t="s">
        <v>10</v>
      </c>
      <c r="L64" t="s">
        <v>25</v>
      </c>
      <c r="M64" t="s">
        <v>9</v>
      </c>
      <c r="N64" t="s">
        <v>9</v>
      </c>
      <c r="O64" t="s">
        <v>10</v>
      </c>
      <c r="P64" t="s">
        <v>10</v>
      </c>
      <c r="Q64" t="s">
        <v>25</v>
      </c>
      <c r="R64" t="s">
        <v>25</v>
      </c>
      <c r="S64" t="s">
        <v>25</v>
      </c>
      <c r="T64" t="s">
        <v>25</v>
      </c>
      <c r="U64">
        <v>30</v>
      </c>
      <c r="V64" t="s">
        <v>0</v>
      </c>
    </row>
    <row r="65" spans="1:22" x14ac:dyDescent="0.35">
      <c r="A65" t="s">
        <v>149</v>
      </c>
      <c r="B65" t="s">
        <v>64</v>
      </c>
      <c r="C65" s="1">
        <v>20124</v>
      </c>
      <c r="D65" s="1">
        <v>46094</v>
      </c>
      <c r="E65" s="5">
        <f>INT((Recueil[[#This Row],[Date de recueil]]-Recueil[[#This Row],[DDN]])/365)</f>
        <v>71</v>
      </c>
      <c r="F65" t="s">
        <v>28</v>
      </c>
      <c r="G65" t="s">
        <v>75</v>
      </c>
      <c r="H65" t="s">
        <v>9</v>
      </c>
      <c r="I65" t="s">
        <v>9</v>
      </c>
      <c r="J65" t="s">
        <v>10</v>
      </c>
      <c r="L65" t="s">
        <v>9</v>
      </c>
      <c r="M65" t="s">
        <v>9</v>
      </c>
      <c r="N65" t="s">
        <v>10</v>
      </c>
      <c r="O65" t="s">
        <v>10</v>
      </c>
      <c r="P65" t="s">
        <v>10</v>
      </c>
      <c r="Q65" t="s">
        <v>25</v>
      </c>
      <c r="R65" t="s">
        <v>25</v>
      </c>
      <c r="S65" t="s">
        <v>25</v>
      </c>
      <c r="T65" t="s">
        <v>25</v>
      </c>
      <c r="U65">
        <v>23</v>
      </c>
      <c r="V65" t="s">
        <v>1</v>
      </c>
    </row>
    <row r="66" spans="1:22" x14ac:dyDescent="0.35">
      <c r="A66" t="s">
        <v>150</v>
      </c>
      <c r="B66" t="s">
        <v>151</v>
      </c>
      <c r="C66" s="1">
        <v>21874</v>
      </c>
      <c r="D66" s="1">
        <v>46125</v>
      </c>
      <c r="E66" s="5">
        <f>INT((Recueil[[#This Row],[Date de recueil]]-Recueil[[#This Row],[DDN]])/365)</f>
        <v>66</v>
      </c>
      <c r="F66" t="s">
        <v>28</v>
      </c>
      <c r="G66" t="s">
        <v>75</v>
      </c>
      <c r="H66" t="s">
        <v>10</v>
      </c>
      <c r="I66" t="s">
        <v>10</v>
      </c>
      <c r="J66" t="s">
        <v>10</v>
      </c>
      <c r="L66" t="s">
        <v>10</v>
      </c>
      <c r="M66" t="s">
        <v>10</v>
      </c>
      <c r="N66" t="s">
        <v>10</v>
      </c>
      <c r="O66" t="s">
        <v>10</v>
      </c>
      <c r="P66" t="s">
        <v>10</v>
      </c>
      <c r="Q66" t="s">
        <v>25</v>
      </c>
      <c r="R66" t="s">
        <v>25</v>
      </c>
      <c r="S66" t="s">
        <v>25</v>
      </c>
      <c r="T66" t="s">
        <v>25</v>
      </c>
      <c r="U66">
        <v>20</v>
      </c>
      <c r="V66" t="s">
        <v>0</v>
      </c>
    </row>
    <row r="67" spans="1:22" x14ac:dyDescent="0.35">
      <c r="A67" t="s">
        <v>152</v>
      </c>
      <c r="B67" t="s">
        <v>153</v>
      </c>
      <c r="C67" s="1">
        <v>31098</v>
      </c>
      <c r="D67" s="1">
        <v>46139</v>
      </c>
      <c r="E67" s="5">
        <f>INT((Recueil[[#This Row],[Date de recueil]]-Recueil[[#This Row],[DDN]])/365)</f>
        <v>41</v>
      </c>
      <c r="F67" t="s">
        <v>28</v>
      </c>
      <c r="G67" t="s">
        <v>75</v>
      </c>
      <c r="H67" t="s">
        <v>9</v>
      </c>
      <c r="I67" t="s">
        <v>9</v>
      </c>
      <c r="J67" t="s">
        <v>10</v>
      </c>
      <c r="L67" t="s">
        <v>9</v>
      </c>
      <c r="M67" t="s">
        <v>9</v>
      </c>
      <c r="N67" t="s">
        <v>9</v>
      </c>
      <c r="O67" t="s">
        <v>10</v>
      </c>
      <c r="P67" t="s">
        <v>10</v>
      </c>
      <c r="Q67" t="s">
        <v>25</v>
      </c>
      <c r="R67" t="s">
        <v>25</v>
      </c>
      <c r="S67" t="s">
        <v>25</v>
      </c>
      <c r="T67" t="s">
        <v>25</v>
      </c>
      <c r="U67">
        <v>26</v>
      </c>
      <c r="V67" t="s">
        <v>0</v>
      </c>
    </row>
    <row r="68" spans="1:22" x14ac:dyDescent="0.35">
      <c r="A68" t="s">
        <v>154</v>
      </c>
      <c r="B68" t="s">
        <v>155</v>
      </c>
      <c r="C68" s="1">
        <v>29147</v>
      </c>
      <c r="D68" s="1">
        <v>46139</v>
      </c>
      <c r="E68" s="5">
        <f>INT((Recueil[[#This Row],[Date de recueil]]-Recueil[[#This Row],[DDN]])/365)</f>
        <v>46</v>
      </c>
      <c r="F68" t="s">
        <v>28</v>
      </c>
      <c r="G68" t="s">
        <v>77</v>
      </c>
      <c r="H68" t="s">
        <v>10</v>
      </c>
      <c r="I68" t="s">
        <v>10</v>
      </c>
      <c r="J68" t="s">
        <v>10</v>
      </c>
      <c r="L68" t="s">
        <v>10</v>
      </c>
      <c r="M68" t="s">
        <v>10</v>
      </c>
      <c r="N68" t="s">
        <v>9</v>
      </c>
      <c r="O68" t="s">
        <v>10</v>
      </c>
      <c r="P68" t="s">
        <v>10</v>
      </c>
      <c r="Q68" t="s">
        <v>25</v>
      </c>
      <c r="R68" t="s">
        <v>25</v>
      </c>
      <c r="S68" t="s">
        <v>25</v>
      </c>
      <c r="T68" t="s">
        <v>25</v>
      </c>
      <c r="U68">
        <v>25</v>
      </c>
      <c r="V68" t="s">
        <v>0</v>
      </c>
    </row>
    <row r="69" spans="1:22" x14ac:dyDescent="0.35">
      <c r="A69" t="s">
        <v>156</v>
      </c>
      <c r="B69" t="s">
        <v>157</v>
      </c>
      <c r="C69" s="1">
        <v>24212</v>
      </c>
      <c r="D69" s="1">
        <v>46140</v>
      </c>
      <c r="E69" s="5">
        <f>INT((Recueil[[#This Row],[Date de recueil]]-Recueil[[#This Row],[DDN]])/365)</f>
        <v>60</v>
      </c>
      <c r="F69" t="s">
        <v>29</v>
      </c>
      <c r="G69" t="s">
        <v>75</v>
      </c>
      <c r="H69" t="s">
        <v>9</v>
      </c>
      <c r="I69" t="s">
        <v>9</v>
      </c>
      <c r="J69" t="s">
        <v>9</v>
      </c>
      <c r="K69" t="s">
        <v>9</v>
      </c>
      <c r="L69" t="s">
        <v>9</v>
      </c>
      <c r="M69" t="s">
        <v>9</v>
      </c>
      <c r="N69" t="s">
        <v>9</v>
      </c>
      <c r="O69" t="s">
        <v>10</v>
      </c>
      <c r="P69" t="s">
        <v>9</v>
      </c>
      <c r="Q69" t="s">
        <v>9</v>
      </c>
      <c r="R69" t="s">
        <v>9</v>
      </c>
      <c r="S69" t="s">
        <v>10</v>
      </c>
      <c r="T69" t="s">
        <v>9</v>
      </c>
      <c r="U69">
        <v>22</v>
      </c>
      <c r="V69" t="s">
        <v>0</v>
      </c>
    </row>
    <row r="70" spans="1:22" x14ac:dyDescent="0.35">
      <c r="A70" t="s">
        <v>156</v>
      </c>
      <c r="B70" t="s">
        <v>157</v>
      </c>
      <c r="C70" s="1">
        <v>24212</v>
      </c>
      <c r="D70" s="1">
        <v>46140</v>
      </c>
      <c r="E70" s="5">
        <f>INT((Recueil[[#This Row],[Date de recueil]]-Recueil[[#This Row],[DDN]])/365)</f>
        <v>60</v>
      </c>
      <c r="F70" t="s">
        <v>28</v>
      </c>
      <c r="G70" t="s">
        <v>75</v>
      </c>
      <c r="H70" t="s">
        <v>9</v>
      </c>
      <c r="I70" t="s">
        <v>9</v>
      </c>
      <c r="J70" t="s">
        <v>9</v>
      </c>
      <c r="K70" t="s">
        <v>9</v>
      </c>
      <c r="L70" t="s">
        <v>9</v>
      </c>
      <c r="M70" t="s">
        <v>9</v>
      </c>
      <c r="N70" t="s">
        <v>9</v>
      </c>
      <c r="O70" t="s">
        <v>10</v>
      </c>
      <c r="P70" t="s">
        <v>9</v>
      </c>
      <c r="Q70" t="s">
        <v>9</v>
      </c>
      <c r="R70" t="s">
        <v>9</v>
      </c>
      <c r="S70" t="s">
        <v>10</v>
      </c>
      <c r="T70" t="s">
        <v>10</v>
      </c>
      <c r="U70">
        <v>22</v>
      </c>
      <c r="V70" t="s">
        <v>0</v>
      </c>
    </row>
    <row r="71" spans="1:22" x14ac:dyDescent="0.35">
      <c r="E71" s="5">
        <f>INT((Recueil[[#This Row],[Date de recueil]]-Recueil[[#This Row],[DDN]])/365)</f>
        <v>0</v>
      </c>
    </row>
    <row r="72" spans="1:22" x14ac:dyDescent="0.35">
      <c r="E72" s="5">
        <f>INT((Recueil[[#This Row],[Date de recueil]]-Recueil[[#This Row],[DDN]])/365)</f>
        <v>0</v>
      </c>
    </row>
    <row r="73" spans="1:22" x14ac:dyDescent="0.35">
      <c r="E73" s="5">
        <f>INT((Recueil[[#This Row],[Date de recueil]]-Recueil[[#This Row],[DDN]])/365)</f>
        <v>0</v>
      </c>
    </row>
    <row r="74" spans="1:22" x14ac:dyDescent="0.35">
      <c r="E74" s="5">
        <f>INT((Recueil[[#This Row],[Date de recueil]]-Recueil[[#This Row],[DDN]])/365)</f>
        <v>0</v>
      </c>
    </row>
    <row r="75" spans="1:22" x14ac:dyDescent="0.35">
      <c r="E75" s="5">
        <f>INT((Recueil[[#This Row],[Date de recueil]]-Recueil[[#This Row],[DDN]])/365)</f>
        <v>0</v>
      </c>
    </row>
    <row r="76" spans="1:22" x14ac:dyDescent="0.35">
      <c r="E76" s="5">
        <f>INT((Recueil[[#This Row],[Date de recueil]]-Recueil[[#This Row],[DDN]])/365)</f>
        <v>0</v>
      </c>
    </row>
    <row r="77" spans="1:22" x14ac:dyDescent="0.35">
      <c r="E77" s="5">
        <f>INT((Recueil[[#This Row],[Date de recueil]]-Recueil[[#This Row],[DDN]])/365)</f>
        <v>0</v>
      </c>
    </row>
    <row r="78" spans="1:22" x14ac:dyDescent="0.35">
      <c r="E78" s="5">
        <f>INT((Recueil[[#This Row],[Date de recueil]]-Recueil[[#This Row],[DDN]])/365)</f>
        <v>0</v>
      </c>
    </row>
    <row r="79" spans="1:22" x14ac:dyDescent="0.35">
      <c r="E79" s="5">
        <f>INT((Recueil[[#This Row],[Date de recueil]]-Recueil[[#This Row],[DDN]])/365)</f>
        <v>0</v>
      </c>
    </row>
    <row r="80" spans="1:22" x14ac:dyDescent="0.35">
      <c r="E80" s="5">
        <f>INT((Recueil[[#This Row],[Date de recueil]]-Recueil[[#This Row],[DDN]])/365)</f>
        <v>0</v>
      </c>
    </row>
    <row r="81" spans="5:5" x14ac:dyDescent="0.35">
      <c r="E81" s="5">
        <f>INT((Recueil[[#This Row],[Date de recueil]]-Recueil[[#This Row],[DDN]])/365)</f>
        <v>0</v>
      </c>
    </row>
    <row r="82" spans="5:5" x14ac:dyDescent="0.35">
      <c r="E82" s="5">
        <f>INT((Recueil[[#This Row],[Date de recueil]]-Recueil[[#This Row],[DDN]])/365)</f>
        <v>0</v>
      </c>
    </row>
  </sheetData>
  <phoneticPr fontId="2" type="noConversion"/>
  <dataValidations count="2">
    <dataValidation type="date" allowBlank="1" showInputMessage="1" showErrorMessage="1" sqref="C2:C82" xr:uid="{00000000-0002-0000-0000-000000000000}">
      <formula1>1</formula1>
      <formula2>44197</formula2>
    </dataValidation>
    <dataValidation type="date" allowBlank="1" showInputMessage="1" showErrorMessage="1" sqref="D1:D1048576" xr:uid="{00000000-0002-0000-0000-000001000000}">
      <formula1>1</formula1>
      <formula2>47484</formula2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2000000}">
          <x14:formula1>
            <xm:f>Feuil1!$R$7:$R$8</xm:f>
          </x14:formula1>
          <xm:sqref>F1:F1048576</xm:sqref>
        </x14:dataValidation>
        <x14:dataValidation type="list" allowBlank="1" showInputMessage="1" showErrorMessage="1" xr:uid="{00000000-0002-0000-0000-000003000000}">
          <x14:formula1>
            <xm:f>Feuil1!$R$9:$R$11</xm:f>
          </x14:formula1>
          <xm:sqref>J1 K61:K1048576 L1:L60 H2:H1048576 I1:I1048576</xm:sqref>
        </x14:dataValidation>
        <x14:dataValidation type="list" allowBlank="1" showInputMessage="1" showErrorMessage="1" xr:uid="{00000000-0002-0000-0000-000004000000}">
          <x14:formula1>
            <xm:f>Feuil1!$R$3:$R$4</xm:f>
          </x14:formula1>
          <xm:sqref>J2:J60</xm:sqref>
        </x14:dataValidation>
        <x14:dataValidation type="list" allowBlank="1" showInputMessage="1" showErrorMessage="1" xr:uid="{00000000-0002-0000-0000-000005000000}">
          <x14:formula1>
            <xm:f>Feuil1!$R$9:$R$10</xm:f>
          </x14:formula1>
          <xm:sqref>J61:J1048576 K1:K60</xm:sqref>
        </x14:dataValidation>
        <x14:dataValidation type="list" allowBlank="1" showInputMessage="1" showErrorMessage="1" xr:uid="{00000000-0002-0000-0000-000006000000}">
          <x14:formula1>
            <xm:f>Feuil1!$S$5:$S$7</xm:f>
          </x14:formula1>
          <xm:sqref>M1:T60 L61:T1048576</xm:sqref>
        </x14:dataValidation>
        <x14:dataValidation type="list" allowBlank="1" showInputMessage="1" showErrorMessage="1" xr:uid="{00000000-0002-0000-0000-000008000000}">
          <x14:formula1>
            <xm:f>Feuil1!$O$13:$O$20</xm:f>
          </x14:formula1>
          <xm:sqref>G2:G82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O3:U20"/>
  <sheetViews>
    <sheetView workbookViewId="0">
      <selection activeCell="L19" sqref="L19"/>
    </sheetView>
  </sheetViews>
  <sheetFormatPr baseColWidth="10" defaultColWidth="9.1796875" defaultRowHeight="14.5" x14ac:dyDescent="0.35"/>
  <cols>
    <col min="21" max="21" width="15" customWidth="1"/>
  </cols>
  <sheetData>
    <row r="3" spans="15:21" x14ac:dyDescent="0.35">
      <c r="R3" t="s">
        <v>0</v>
      </c>
    </row>
    <row r="4" spans="15:21" x14ac:dyDescent="0.35">
      <c r="R4" t="s">
        <v>1</v>
      </c>
    </row>
    <row r="5" spans="15:21" x14ac:dyDescent="0.35">
      <c r="R5" t="s">
        <v>2</v>
      </c>
      <c r="S5" t="s">
        <v>9</v>
      </c>
      <c r="U5" t="s">
        <v>36</v>
      </c>
    </row>
    <row r="6" spans="15:21" x14ac:dyDescent="0.35">
      <c r="R6" t="s">
        <v>3</v>
      </c>
      <c r="S6" t="s">
        <v>10</v>
      </c>
      <c r="U6" t="s">
        <v>37</v>
      </c>
    </row>
    <row r="7" spans="15:21" x14ac:dyDescent="0.35">
      <c r="R7" t="s">
        <v>29</v>
      </c>
      <c r="S7" t="s">
        <v>25</v>
      </c>
      <c r="U7" t="s">
        <v>38</v>
      </c>
    </row>
    <row r="8" spans="15:21" x14ac:dyDescent="0.35">
      <c r="R8" t="s">
        <v>28</v>
      </c>
    </row>
    <row r="9" spans="15:21" x14ac:dyDescent="0.35">
      <c r="R9" t="s">
        <v>9</v>
      </c>
    </row>
    <row r="10" spans="15:21" x14ac:dyDescent="0.35">
      <c r="R10" t="s">
        <v>10</v>
      </c>
    </row>
    <row r="11" spans="15:21" x14ac:dyDescent="0.35">
      <c r="R11" t="s">
        <v>3</v>
      </c>
    </row>
    <row r="13" spans="15:21" x14ac:dyDescent="0.35">
      <c r="O13" t="s">
        <v>70</v>
      </c>
    </row>
    <row r="14" spans="15:21" x14ac:dyDescent="0.35">
      <c r="O14" t="s">
        <v>71</v>
      </c>
    </row>
    <row r="15" spans="15:21" x14ac:dyDescent="0.35">
      <c r="O15" t="s">
        <v>72</v>
      </c>
    </row>
    <row r="16" spans="15:21" x14ac:dyDescent="0.35">
      <c r="O16" t="s">
        <v>73</v>
      </c>
    </row>
    <row r="17" spans="15:15" x14ac:dyDescent="0.35">
      <c r="O17" t="s">
        <v>74</v>
      </c>
    </row>
    <row r="18" spans="15:15" x14ac:dyDescent="0.35">
      <c r="O18" t="s">
        <v>75</v>
      </c>
    </row>
    <row r="19" spans="15:15" x14ac:dyDescent="0.35">
      <c r="O19" t="s">
        <v>76</v>
      </c>
    </row>
    <row r="20" spans="15:15" x14ac:dyDescent="0.35">
      <c r="O20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Recueil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BOURGOIN Antoine</dc:creator>
  <cp:lastModifiedBy>chloe.lemaitre971@gmail.com</cp:lastModifiedBy>
  <dcterms:created xsi:type="dcterms:W3CDTF">2015-06-05T18:19:34Z</dcterms:created>
  <dcterms:modified xsi:type="dcterms:W3CDTF">2026-05-06T12:27:56Z</dcterms:modified>
</cp:coreProperties>
</file>